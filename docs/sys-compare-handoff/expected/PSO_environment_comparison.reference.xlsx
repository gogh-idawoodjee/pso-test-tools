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Versions" sheetId="2" state="visible" r:id="rId4"/>
    <sheet name="Parameters" sheetId="3" state="visible" r:id="rId5"/>
    <sheet name="Exception Types" sheetId="4" state="visible" r:id="rId6"/>
    <sheet name="Group Permissions" sheetId="5" state="visible" r:id="rId7"/>
    <sheet name="Groups" sheetId="6" state="visible" r:id="rId8"/>
    <sheet name="Org Permissions" sheetId="7" state="visible" r:id="rId9"/>
    <sheet name="Lists" sheetId="8" state="visible" r:id="rId10"/>
    <sheet name="Travel" sheetId="9" state="visible" r:id="rId11"/>
    <sheet name="Profiles &amp; Other" sheetId="10" state="visible" r:id="rId12"/>
    <sheet name="Table Counts" sheetId="11" state="visible" r:id="rId13"/>
    <sheet name="Version History" sheetId="12" state="visible" r:id="rId14"/>
  </sheets>
  <definedNames>
    <definedName function="false" hidden="false" localSheetId="3" name="_xlnm.Print_Titles" vbProcedure="false">'Exception Types'!$1:$1</definedName>
    <definedName function="false" hidden="true" localSheetId="3" name="_xlnm._FilterDatabase" vbProcedure="false">'Exception Types'!$A$1:$H$112</definedName>
    <definedName function="false" hidden="false" localSheetId="4" name="_xlnm.Print_Titles" vbProcedure="false">'Group Permissions'!$1:$1</definedName>
    <definedName function="false" hidden="true" localSheetId="4" name="_xlnm._FilterDatabase" vbProcedure="false">'Group Permissions'!$A$1:$H$479</definedName>
    <definedName function="false" hidden="false" localSheetId="5" name="_xlnm.Print_Titles" vbProcedure="false">Groups!$1:$1</definedName>
    <definedName function="false" hidden="true" localSheetId="5" name="_xlnm._FilterDatabase" vbProcedure="false">Groups!$A$1:$H$77</definedName>
    <definedName function="false" hidden="false" localSheetId="7" name="_xlnm.Print_Titles" vbProcedure="false">Lists!$1:$1</definedName>
    <definedName function="false" hidden="true" localSheetId="7" name="_xlnm._FilterDatabase" vbProcedure="false">Lists!$A$1:$H$83</definedName>
    <definedName function="false" hidden="false" localSheetId="6" name="_xlnm.Print_Titles" vbProcedure="false">'Org Permissions'!$1:$1</definedName>
    <definedName function="false" hidden="true" localSheetId="6" name="_xlnm._FilterDatabase" vbProcedure="false">'Org Permissions'!$A$1:$H$13</definedName>
    <definedName function="false" hidden="false" localSheetId="2" name="_xlnm.Print_Titles" vbProcedure="false">Parameters!$1:$1</definedName>
    <definedName function="false" hidden="true" localSheetId="2" name="_xlnm._FilterDatabase" vbProcedure="false">Parameters!$A$1:$I$50</definedName>
    <definedName function="false" hidden="false" localSheetId="9" name="_xlnm.Print_Titles" vbProcedure="false">'Profiles &amp; Other'!$1:$1</definedName>
    <definedName function="false" hidden="true" localSheetId="9" name="_xlnm._FilterDatabase" vbProcedure="false">'Profiles &amp; Other'!$A$1:$H$13</definedName>
    <definedName function="false" hidden="false" localSheetId="10" name="_xlnm.Print_Titles" vbProcedure="false">'Table Counts'!$1:$1</definedName>
    <definedName function="false" hidden="false" localSheetId="8" name="_xlnm.Print_Titles" vbProcedure="false">Travel!$1:$1</definedName>
    <definedName function="false" hidden="true" localSheetId="8" name="_xlnm._FilterDatabase" vbProcedure="false">Travel!$A$1:$H$18</definedName>
    <definedName function="false" hidden="false" localSheetId="11" name="_xlnm.Print_Titles" vbProcedure="false">'Version History'!$1:$1</definedName>
    <definedName function="false" hidden="true" localSheetId="11" name="_xlnm._FilterDatabase" vbProcedure="false">'Version History'!$A$1:$E$73</definedName>
    <definedName function="false" hidden="false" localSheetId="1" name="_xlnm.Print_Titles" vbProcedure="false">Versions!$1:$1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<sst xmlns="http://schemas.openxmlformats.org/spreadsheetml/2006/main" count="5511" uniqueCount="748">
  <si>
    <t xml:space="preserve">PSO system data comparison – PROD / ACC (UAT) / STG / TST</t>
  </si>
  <si>
    <t xml:space="preserve">Source: DsSystemData exports (sys files), one per environment. Generated 28 Sep 2026.</t>
  </si>
  <si>
    <t xml:space="preserve">Scope</t>
  </si>
  <si>
    <t xml:space="preserve">Compared: profile parameters, schedule exception types, groups and group permissions, organisation permissions, org-default list layouts, travel-time setup, profiles, terminology.</t>
  </si>
  <si>
    <t xml:space="preserve">Not compared: Users and System_Version (as requested), and all per-user tables. Per-user tables hold data tied to individual user accounts: each person’s saved filters, screen settings and list layouts, plus which groups, permissions and parameters are assigned to each user. They are left out because the set of users differs between environments, so comparing them would mostly show noise. This also means group membership (who is in which group) is not compared, only what each group is allowed to do.</t>
  </si>
  <si>
    <t xml:space="preserve">List, entry and polygon IDs are GUIDs that differ per environment, so lists are matched on content and travel polygons are summarised by count.</t>
  </si>
  <si>
    <t xml:space="preserve">ST_Ops_Mgr / ST_Ops_MGR are treated as the same group (case differs by environment); the Groups tab flags the spelling difference.</t>
  </si>
  <si>
    <t xml:space="preserve">AST environment: not available (credentials failed), so not included.</t>
  </si>
  <si>
    <t xml:space="preserve">Routing API key values are masked as [API key set]; the key value is identical everywhere it is set.</t>
  </si>
  <si>
    <t xml:space="preserve">Parameter definitions come from the project knowledge base; ones marked [Inferred] rest only on the parameter name and general PSO knowledge, so treat them as unverified.</t>
  </si>
  <si>
    <t xml:space="preserve">Legend: amber cell = differs from PROD; “DIFF” = not identical across all four; ␣ marks a leading/trailing space in a value; permissions show allow / allow_edit (T/F).</t>
  </si>
  <si>
    <t xml:space="preserve">Rows that differ from PROD</t>
  </si>
  <si>
    <t xml:space="preserve">Rows compared</t>
  </si>
  <si>
    <t xml:space="preserve">ACC (UAT)</t>
  </si>
  <si>
    <t xml:space="preserve">STG</t>
  </si>
  <si>
    <t xml:space="preserve">TST</t>
  </si>
  <si>
    <t xml:space="preserve">Parameters</t>
  </si>
  <si>
    <t xml:space="preserve">Exception Types</t>
  </si>
  <si>
    <t xml:space="preserve">Group Permissions</t>
  </si>
  <si>
    <t xml:space="preserve">Groups</t>
  </si>
  <si>
    <t xml:space="preserve">Org Permissions</t>
  </si>
  <si>
    <t xml:space="preserve">Lists</t>
  </si>
  <si>
    <t xml:space="preserve">Travel</t>
  </si>
  <si>
    <t xml:space="preserve">Profiles &amp; Other</t>
  </si>
  <si>
    <t xml:space="preserve">Total</t>
  </si>
  <si>
    <t xml:space="preserve">Share of rows differing from PROD</t>
  </si>
  <si>
    <t xml:space="preserve">Rows not identical across all four</t>
  </si>
  <si>
    <t xml:space="preserve">PSO version</t>
  </si>
  <si>
    <t xml:space="preserve">Key findings</t>
  </si>
  <si>
    <t xml:space="preserve">Travel: committed activities</t>
  </si>
  <si>
    <t xml:space="preserve">CommittedActivitiesProfile is set to RealTimeTravel (TomTom) in PROD and STG, and to HierarchicalTravelMatrix in ACC and TST. But the profile is only used if DEFAULT.CommittedActivitiesProfileId points at it (a required setup step). That is set in ACC and STG and empty in PROD and TST. So STG is the only environment where real-time travel is fully wired; in PROD the profile exists but DEFAULT does not reference it. Verify: dataset-level parameter overrides are not part of this export and could change that.</t>
  </si>
  <si>
    <t xml:space="preserve">Travel: default calculation</t>
  </si>
  <si>
    <t xml:space="preserve">TST uses StraightLine on DEFAULT; PROD, ACC and STG use HierarchicalTravelMatrix. RealTimeTravelProvider=NONE is set on DEFAULT in PROD and STG only.</t>
  </si>
  <si>
    <t xml:space="preserve">Travel-time weighting</t>
  </si>
  <si>
    <t xml:space="preserve">Only ACC has a full travel-time weighting set (“Default”, America/Regina, 343 polygons, weightings 0.12–2.84). PROD has two Lucky Lake polygons (0.5 each) under DEFAULT plus a “TEST” profile; ACC has none of the Lucky Lake polygons; STG and TST have no travel-time data at all. TST references TravelTimeProfileId values (DEFAULT, STRAIGHTLINE) that do not exist in its own file. ID casing also differs (“Default” in ACC, “DEFAULT” in PROD/TST).</t>
  </si>
  <si>
    <t xml:space="preserve">AllowSplitTravel</t>
  </si>
  <si>
    <t xml:space="preserve">Set (True) only in PROD; absent in ACC, STG and TST. Not documented in the KB, and the KB says implicit-break travel splitting follows split_allowed on the destination activity type with no separate toggle, so this parameter is worth raising with IFS.</t>
  </si>
  <si>
    <t xml:space="preserve">Committed / shift behaviour</t>
  </si>
  <si>
    <t xml:space="preserve">CommitToAllocatedShift is False in PROD and STG, True in ACC and TST. ImplicitBreaksOnOffEventsRequired: True in PROD, False in TST, absent in ACC/STG. SortValuePrecedenceMaximumStatus=40 in PROD and STG only.</t>
  </si>
  <si>
    <t xml:space="preserve">Exception types</t>
  </si>
  <si>
    <t xml:space="preserve">TST has 35 CommittedActivitiesProfile rows and has 110/130/250/280 active in DEFAULT (inactive elsewhere). STG has five DEFAULT types (2000, 2001, 2005, 2500, 3001) and CONTRACTORS 450 that exist nowhere else; the DEFAULT ones are described “Test”, “test 1”, “Test Case”, “Test Case 25” and “test123”, so they look like leftover test data. ACC has an active type 1002 described “nonsense” (TST has it inactive; PROD and STG don’t have it). DEFAULT type 1000 exists only in TST. Type 90 attention is 10 in PROD/STG and 2 in ACC/TST.</t>
  </si>
  <si>
    <t xml:space="preserve">Admin groups</t>
  </si>
  <si>
    <t xml:space="preserve">PROD uses SAST_SYSTEM_ADMIN (24 permissions). ACC/STG/TST use GOGH_ADMIN_PERMISSION (no direct permissions, inherits FNDSCH_ADMIN); ACC and STG also have GOGHSUPERUSER; ACC alone has REG; TST alone has an unnamed GUID group.</t>
  </si>
  <si>
    <t xml:space="preserve">Group naming</t>
  </si>
  <si>
    <t xml:space="preserve">ST_Ops_Mgr in PROD/ACC but ST_Ops_MGR in STG/TST. STG group descriptions say “Sasktel” instead of “SaskTel”.</t>
  </si>
  <si>
    <t xml:space="preserve">Role permissions</t>
  </si>
  <si>
    <t xml:space="preserve">Most group permission rows are explicit DENIES (241 of 341 in PROD), so row counts (e.g. ST_Planner 78 / 91 / 33 / 34) mostly measure how many deny rows an environment carries, not what a role can do. Effectively ALLOWED permissions are close: ST_Planner 13 / 11 / 10 / 13, ST_Scheduler 8 / 6 / 7 / 8, ST_Dispatch 9 / 7 / 9 / 11, ST_WFM_MGR 10 / 14 / 5 / 7 (PROD / ACC / STG / TST). Real differences: ManualChanges is allowed for Planner, Scheduler and Dispatch in STG/TST (Dispatch also in ACC) but not in PROD, where only ST_WFM_MGR has it; ACC ST_WFM_MGR is allowed Administrator, AdministrationWorkspace and AdminTravelProfilesView, which PROD ST_WFM_MGR is not; ViewAllDatasets is allowed for every ST_ role in PROD but denied for some roles in STG/TST. A permission with no row falls back to its default (not visible in the sys file), so confirm in the Workbench.</t>
  </si>
  <si>
    <t xml:space="preserve">NORTH / SOUTH</t>
  </si>
  <si>
    <t xml:space="preserve">Child groups of Administrator in ACC, STG and TST; no parent in PROD. Their permission rows (0 in PROD, 1 in ACC, 8 / 7 in STG and TST) are all explicit denies, so none of them grants anything directly.</t>
  </si>
  <si>
    <t xml:space="preserve">Org permissions</t>
  </si>
  <si>
    <t xml:space="preserve">ViewAllDatasets: allowed in PROD and STG, denied in ACC. STG alone allows AdministrationWorkspace and DataCaptureView at org level; TST adds Administrator and three Gateway auth denials.</t>
  </si>
  <si>
    <t xml:space="preserve">Lists and clean-up</t>
  </si>
  <si>
    <t xml:space="preserve">Org-default column layouts differ (lists 101 and 11 differ in all four). PROD’s Entry table contains junk labels from testing (e.g. dcvdc, edefd, efef). ACC has trailing spaces in ResourceLabel/ResourceText/ResourceSubtext; TST has one in ResourceLabel.</t>
  </si>
  <si>
    <t xml:space="preserve">PSO versions</t>
  </si>
  <si>
    <t xml:space="preserve">All four environments are on PSO 6.16.0.41 (see the Versions tab). Last upgrades: TST 2025-10-17 (6.15.0 to 6.16.0), ACC 2026-02-03 (6.15.0 to 6.16.0), STG 2026-02-07 (6.15.0 to 6.16.0), PROD 2026-05-03 (6.15.0 to 6.16.0). PROD was upgraded 89 days after ACC.</t>
  </si>
  <si>
    <t xml:space="preserve">Closest to PROD</t>
  </si>
  <si>
    <t xml:space="preserve">By total rows, ACC is closest to PROD (about 26% of rows differ), then STG (about 36%), then TST (about 46%). Read the permission part with care: those row counts are inflated by explicit deny rows. On parameters STG is closest (11 rows differ, vs 21 for ACC and 28 for TST) because it shares PROD’s CommitToAllocatedShift, SortValuePrecedenceMaximumStatus, RealTimeTravelProvider and committed-profile travel option. See the counts table above.</t>
  </si>
  <si>
    <t xml:space="preserve">Tabs</t>
  </si>
  <si>
    <t xml:space="preserve">Versions</t>
  </si>
  <si>
    <t xml:space="preserve">Current PSO version, last upgrade and last patch per environment, with a red/green banner if they are not all on the same version.</t>
  </si>
  <si>
    <t xml:space="preserve">Version History</t>
  </si>
  <si>
    <t xml:space="preserve">Every System_Version record per environment, oldest first.</t>
  </si>
  <si>
    <t xml:space="preserve">Profile parameter values for every profile (API key masked), with a plain-English definition (marked [Inferred] where the KB is silent).</t>
  </si>
  <si>
    <t xml:space="preserve">Active / attention / activation per exception type and profile.</t>
  </si>
  <si>
    <t xml:space="preserve">Every permission per group, by environment.</t>
  </si>
  <si>
    <t xml:space="preserve">Group presence, parent, description and permission counts.</t>
  </si>
  <si>
    <t xml:space="preserve">Organisation-level permissions.</t>
  </si>
  <si>
    <t xml:space="preserve">Org-default list column layouts, position by position.</t>
  </si>
  <si>
    <t xml:space="preserve">Travel calc settings and travel-time profile/polygon inventory.</t>
  </si>
  <si>
    <t xml:space="preserve">Profiles, terminology, exception type data, organisation record.</t>
  </si>
  <si>
    <t xml:space="preserve">Table Counts</t>
  </si>
  <si>
    <t xml:space="preserve">Row counts for every table with scope notes.</t>
  </si>
  <si>
    <t xml:space="preserve">PSO version by environment</t>
  </si>
  <si>
    <t xml:space="preserve">From the System_Version table; all times UTC. Current version = highest version recorded. Last upgrade = most recent "Upgrade from" record. Last patch = most recent "Update" record.</t>
  </si>
  <si>
    <t xml:space="preserve">Environment</t>
  </si>
  <si>
    <t xml:space="preserve">Current version</t>
  </si>
  <si>
    <t xml:space="preserve">Release</t>
  </si>
  <si>
    <t xml:space="preserve">Status</t>
  </si>
  <si>
    <t xml:space="preserve">Last upgrade (UTC)</t>
  </si>
  <si>
    <t xml:space="preserve">Upgraded from</t>
  </si>
  <si>
    <t xml:space="preserve">Upgraded to</t>
  </si>
  <si>
    <t xml:space="preserve">Last patch version</t>
  </si>
  <si>
    <t xml:space="preserve">Last patch (UTC)</t>
  </si>
  <si>
    <t xml:space="preserve">Days since upgrade</t>
  </si>
  <si>
    <t xml:space="preserve">Created (UTC)</t>
  </si>
  <si>
    <t xml:space="preserve">major</t>
  </si>
  <si>
    <t xml:space="preserve">minor</t>
  </si>
  <si>
    <t xml:space="preserve">patch</t>
  </si>
  <si>
    <t xml:space="preserve">build</t>
  </si>
  <si>
    <t xml:space="preserve">sort key</t>
  </si>
  <si>
    <t xml:space="preserve">PROD</t>
  </si>
  <si>
    <t xml:space="preserve">6.16.0.41</t>
  </si>
  <si>
    <t xml:space="preserve">6.15.0</t>
  </si>
  <si>
    <t xml:space="preserve">6.16.0</t>
  </si>
  <si>
    <t xml:space="preserve">Status compares each environment with the highest version in the table (numeric comparison, so 6.13.0.9 is older than 6.13.0.67).</t>
  </si>
  <si>
    <t xml:space="preserve">The vendor-stamped SYSTEM_USER patch records carry the same timestamp in every environment, so they say nothing about when an environment was upgraded; they are ignored for the upgrade and patch dates.</t>
  </si>
  <si>
    <t xml:space="preserve">"Days since upgrade" is live (TODAY) and will change each time the workbook is opened. Columns M:Q are helper columns for the Status formula.</t>
  </si>
  <si>
    <t xml:space="preserve">Profile</t>
  </si>
  <si>
    <t xml:space="preserve">Parameter</t>
  </si>
  <si>
    <t xml:space="preserve">App type</t>
  </si>
  <si>
    <t xml:space="preserve">What it does (plain English)</t>
  </si>
  <si>
    <t xml:space="preserve">DEFAULT</t>
  </si>
  <si>
    <t xml:space="preserve">ARPResourceLabelFormat</t>
  </si>
  <si>
    <t xml:space="preserve">PSW</t>
  </si>
  <si>
    <t xml:space="preserve">(absent)</t>
  </si>
  <si>
    <t xml:space="preserve">{first_name|surname|id}</t>
  </si>
  <si>
    <t xml:space="preserve">[Inferred] How a resource is labelled in the Advanced Resource Planner (ARP).</t>
  </si>
  <si>
    <t xml:space="preserve">ActivityBaseLabel</t>
  </si>
  <si>
    <t xml:space="preserve">{id}</t>
  </si>
  <si>
    <t xml:space="preserve">␣{Activity.id}</t>
  </si>
  <si>
    <t xml:space="preserve">[Inferred] Label format for activities, apparently the base/default label the other activity label settings build on. Confirm on the Parameters screen.</t>
  </si>
  <si>
    <t xml:space="preserve">ActivityLabel</t>
  </si>
  <si>
    <t xml:space="preserve">SWB</t>
  </si>
  <si>
    <t xml:space="preserve">{Activity.Additional_Attribute.Non-Availability Type} {Activity.Additional_Attribute.Task Type} | {Activity.Additional_Attribute.Call ID} |WT:{Activity.Additional_Attribute.Work Task ID} | Act: {Activity.#label}</t>
  </si>
  <si>
    <t xml:space="preserve">ActivitySubtext</t>
  </si>
  <si>
    <t xml:space="preserve">{#status} | Priority: {Activity.priority}</t>
  </si>
  <si>
    <t xml:space="preserve">{#status} Priority: {Activity.priority}</t>
  </si>
  <si>
    <t xml:space="preserve">[Inferred] Secondary line of text shown under the main activity text. Same {Table.Field} expression syntax.</t>
  </si>
  <si>
    <t xml:space="preserve">ActivityText</t>
  </si>
  <si>
    <t xml:space="preserve">{#label}</t>
  </si>
  <si>
    <t xml:space="preserve">Text shown on each activity bar on the Gantt. Built from an expression such as {Table.Field}; fields starting with # are derived values.</t>
  </si>
  <si>
    <t xml:space="preserve">AllowAllocateBeforeCommitted</t>
  </si>
  <si>
    <t xml:space="preserve">DSE</t>
  </si>
  <si>
    <t xml:space="preserve">True</t>
  </si>
  <si>
    <t xml:space="preserve">AllowAuthenticationGateway</t>
  </si>
  <si>
    <t xml:space="preserve">ALL</t>
  </si>
  <si>
    <t xml:space="preserve">AllowLocationlessActivities</t>
  </si>
  <si>
    <t xml:space="preserve">[Inferred] By name, lets the scheduler split a travel leg (for example around a break or a shift boundary). NOT documented in the KB, and the KB currently says there is no separate travel-splitting toggle (it follows split_allowed on the destination activity type), so this needs confirming with IFS. Present only in PROD.</t>
  </si>
  <si>
    <t xml:space="preserve">CascadeSchedulingObjectDeletions</t>
  </si>
  <si>
    <t xml:space="preserve">SIM</t>
  </si>
  <si>
    <t xml:space="preserve">False</t>
  </si>
  <si>
    <t xml:space="preserve">CommitToAllocatedShift</t>
  </si>
  <si>
    <t xml:space="preserve">When someone manually commits an activity, keep it in the shift it is already allocated to. If it is on together with CommitToAvailabilityWindow, whichever has the later start wins.</t>
  </si>
  <si>
    <t xml:space="preserve">CommittedActivitiesConstraintsOption</t>
  </si>
  <si>
    <t xml:space="preserve">1</t>
  </si>
  <si>
    <t xml:space="preserve">1 = committed activities (status 30–40) have their time constraints obeyed, so the start may be pushed to a valid time; 0 = constraints are not enforced. Field reality: only Activity_Availabilities are enforced, not SLA windows. No effect once the resource is Travelling (50).</t>
  </si>
  <si>
    <t xml:space="preserve">CommittedActivitiesProfileId</t>
  </si>
  <si>
    <t xml:space="preserve">(null)</t>
  </si>
  <si>
    <t xml:space="preserve">CommittedActivitiesProfile</t>
  </si>
  <si>
    <t xml:space="preserve">Points the DEFAULT profile at the profile to use for committed (imminent) activities. This is step 2 of the real-time travel setup; without it the committed-activities profile is not picked up.</t>
  </si>
  <si>
    <t xml:space="preserve">GpsFrequency</t>
  </si>
  <si>
    <t xml:space="preserve">PT5M</t>
  </si>
  <si>
    <t xml:space="preserve">[Inferred] By name, how often GPS positions are expected or used (PT5M = every 5 minutes). Set only in ACC.</t>
  </si>
  <si>
    <t xml:space="preserve">HierarchicalDatabaseMatrixId</t>
  </si>
  <si>
    <t xml:space="preserve">NA</t>
  </si>
  <si>
    <t xml:space="preserve">Which HTM (travel matrix) to use. Set per profile, this is how multiple HTM connections are supported.</t>
  </si>
  <si>
    <t xml:space="preserve">ImplicitBreaksOnOffEventsRequired</t>
  </si>
  <si>
    <t xml:space="preserve">Controls when PSO assumes an implicit break has been taken: whether it waits for the resource’s break on/off events or assumes the break happens as planned. Added in 6.5.0.25; a fix in 6.16.0.79 made it apply during appointment booking. The True/False meaning is inferred from the name.</t>
  </si>
  <si>
    <t xml:space="preserve">IsochroneCompareStraight</t>
  </si>
  <si>
    <t xml:space="preserve">Used with the Travel Analyser isochrone preview to compare against a straight-line disc when the preview looks very different from the real isochrone.</t>
  </si>
  <si>
    <t xml:space="preserve">JsonFormatVersion</t>
  </si>
  <si>
    <t xml:space="preserve">SBM</t>
  </si>
  <si>
    <t xml:space="preserve">SRG</t>
  </si>
  <si>
    <t xml:space="preserve">MaxDisplaceableActivityPriority</t>
  </si>
  <si>
    <t xml:space="preserve">ABE</t>
  </si>
  <si>
    <t xml:space="preserve">-1</t>
  </si>
  <si>
    <t xml:space="preserve">Appointment booking: low-priority activities up to this priority are ignored when building an offer (no attempt to reallocate them). -1 = off; e.g. 2 ignores priority 1–2. Never applies to committed-or-later or fully fixed activities.</t>
  </si>
  <si>
    <t xml:space="preserve">MaxUserSessions</t>
  </si>
  <si>
    <t xml:space="preserve">[Inferred] By name, the cap on concurrent sessions per user; -1 presumably means unlimited.</t>
  </si>
  <si>
    <t xml:space="preserve">NoActivityChangesFromStatus</t>
  </si>
  <si>
    <t xml:space="preserve">32</t>
  </si>
  <si>
    <t xml:space="preserve">NoStatusChangesFromStatus</t>
  </si>
  <si>
    <t xml:space="preserve">OpenIdAllowLegacyAuthentication</t>
  </si>
  <si>
    <t xml:space="preserve">GWY</t>
  </si>
  <si>
    <t xml:space="preserve">OpenIdAuthority</t>
  </si>
  <si>
    <t xml:space="preserve">https://sast.ifs.cloud/auth/realms/sateprd1</t>
  </si>
  <si>
    <t xml:space="preserve">https://sast-uat.ifs.cloud/auth/realms/sateuat1</t>
  </si>
  <si>
    <t xml:space="preserve">https://sast-stg.ifs.cloud/auth/realms/satestg1</t>
  </si>
  <si>
    <t xml:space="preserve">https://paq3uqy-del1.build.ifs.cloud/auth/realms/paq3uqydel1</t>
  </si>
  <si>
    <t xml:space="preserve">Issuer URL of the identity provider used for single sign-on (OpenID Connect). Expected to differ per environment. If it is wrong, logins fail; the packaged “Reset OpenIdAuthority.xml” restores password login.</t>
  </si>
  <si>
    <t xml:space="preserve">OpenIdClientId</t>
  </si>
  <si>
    <t xml:space="preserve">IFS_automation</t>
  </si>
  <si>
    <t xml:space="preserve">PrivateActivityLabel</t>
  </si>
  <si>
    <t xml:space="preserve">{Activity.description}</t>
  </si>
  <si>
    <t xml:space="preserve">[Inferred] Label shown for private activities outside the Gantt, by analogy with ActivityLabel.</t>
  </si>
  <si>
    <t xml:space="preserve">PrivateActivityText</t>
  </si>
  <si>
    <t xml:space="preserve">[Inferred] Text shown on private activities (unavailability blocks such as holiday, sickness, training) on the Gantt.</t>
  </si>
  <si>
    <t xml:space="preserve">RealTimeTravelProvider</t>
  </si>
  <si>
    <t xml:space="preserve">NONE</t>
  </si>
  <si>
    <t xml:space="preserve">Which online routing service supplies real-time travel: NONE or TOMTOM.</t>
  </si>
  <si>
    <t xml:space="preserve">ResourceDescriptionFormat</t>
  </si>
  <si>
    <t xml:space="preserve">ARC</t>
  </si>
  <si>
    <t xml:space="preserve">{Resources.first_name} {Resources.surname} [{Additional Attribute.Employer}]</t>
  </si>
  <si>
    <t xml:space="preserve">[Inferred] Format of the resource’s description string, e.g. in lists and tooltips.</t>
  </si>
  <si>
    <t xml:space="preserve">ResourceLabel</t>
  </si>
  <si>
    <t xml:space="preserve">{first_name} {surname} [{Additional_Attribute.Employer}]</t>
  </si>
  <si>
    <t xml:space="preserve">{first_name} {surname} [{Additional_Attribute.Employer}]␣</t>
  </si>
  <si>
    <t xml:space="preserve">How a resource is named outside the Gantt, e.g. {First name} {Surname} [{Id}] shows “Charles Ollivon [T1001]”. Anything outside { } (spaces, brackets) is shown as typed, so a trailing space is cosmetic only.</t>
  </si>
  <si>
    <t xml:space="preserve">ResourceSubtext</t>
  </si>
  <si>
    <t xml:space="preserve">{Additional_Attribute.Employer}</t>
  </si>
  <si>
    <t xml:space="preserve">{Additional_Attribute.Employer}␣</t>
  </si>
  <si>
    <t xml:space="preserve">[Inferred] Secondary line shown under the resource name (here the employer).</t>
  </si>
  <si>
    <t xml:space="preserve">ResourceText</t>
  </si>
  <si>
    <t xml:space="preserve">{first_name} {surname}</t>
  </si>
  <si>
    <t xml:space="preserve">{first_name} {surname}␣</t>
  </si>
  <si>
    <t xml:space="preserve">[Inferred] Main text shown for each resource row on the Gantt, by analogy with ActivityText.</t>
  </si>
  <si>
    <t xml:space="preserve">RoutingApiKey</t>
  </si>
  <si>
    <t xml:space="preserve">[API key set]</t>
  </si>
  <si>
    <t xml:space="preserve">API key for the online routing service; required for real-time travel. (Masked in this workbook.)</t>
  </si>
  <si>
    <t xml:space="preserve">SLAActivityAgeingFactor</t>
  </si>
  <si>
    <t xml:space="preserve">3</t>
  </si>
  <si>
    <t xml:space="preserve">[Inferred] By name, a multiplier on how SLA-related activity age is calculated or displayed. Confirm before relying on it.</t>
  </si>
  <si>
    <t xml:space="preserve">SchedulingWindowLength</t>
  </si>
  <si>
    <t xml:space="preserve">P2D</t>
  </si>
  <si>
    <t xml:space="preserve">[Inferred] By name, how far ahead the scheduler plans (P2D = 2 days). Related to the dataset’s Scheduling Work Days, but the parameter itself is not documented in the KB.</t>
  </si>
  <si>
    <t xml:space="preserve">SortValuePrecedenceMaximumStatus</t>
  </si>
  <si>
    <t xml:space="preserve">40</t>
  </si>
  <si>
    <t xml:space="preserve">Order of committed activities. Default 30 sorts by status first (Accepted before Downloaded before Sent before Committed), then commit_sort_value. Setting 40 makes commit_sort_value the main key with status as tie-breaker. Each activity needs a unique status + sort value + date_time_status combination.</t>
  </si>
  <si>
    <t xml:space="preserve">StandardSendScheduleExceptionAccepts</t>
  </si>
  <si>
    <t xml:space="preserve">When true, schedule-exception acknowledgements are handled in the standard way and the separate Schedule_Exception_Response broadcast is bypassed.</t>
  </si>
  <si>
    <t xml:space="preserve">TravelCalculationOption</t>
  </si>
  <si>
    <t xml:space="preserve">HierarchicalTravelMatrix</t>
  </si>
  <si>
    <t xml:space="preserve">StraightLine</t>
  </si>
  <si>
    <t xml:space="preserve">How travel time is worked out: HierarchicalTravelMatrix (the HTM travel database), StraightLine (as the crow flies, with a speed factor), or RealTimeTravel (live routing service, meant for committed/imminent activities and layered on top of HTM or straight line).</t>
  </si>
  <si>
    <t xml:space="preserve">TravelTimeProfileId</t>
  </si>
  <si>
    <t xml:space="preserve">Default</t>
  </si>
  <si>
    <t xml:space="preserve">Which travel-time profile (time-of-day and area weightings, barriers) adjusts journey times. It is the last fallback after Shift, Resource and Resource Type. The system ships with an empty DEFAULT profile.</t>
  </si>
  <si>
    <t xml:space="preserve">UserNameClaim</t>
  </si>
  <si>
    <t xml:space="preserve">preferred_username</t>
  </si>
  <si>
    <t xml:space="preserve">iSWBDistanceUnit</t>
  </si>
  <si>
    <t xml:space="preserve">TOMTOM</t>
  </si>
  <si>
    <t xml:space="preserve">RealTimeTravel</t>
  </si>
  <si>
    <t xml:space="preserve">STRAIGHTLINE</t>
  </si>
  <si>
    <t xml:space="preserve">Type ID</t>
  </si>
  <si>
    <t xml:space="preserve">Description</t>
  </si>
  <si>
    <t xml:space="preserve">10</t>
  </si>
  <si>
    <t xml:space="preserve">on / attn 1 / act 600</t>
  </si>
  <si>
    <t xml:space="preserve">20</t>
  </si>
  <si>
    <t xml:space="preserve">on / attn 10 / act 10</t>
  </si>
  <si>
    <t xml:space="preserve">30</t>
  </si>
  <si>
    <t xml:space="preserve">off / attn 10 / act 10</t>
  </si>
  <si>
    <t xml:space="preserve">off / attn 50 / act -</t>
  </si>
  <si>
    <t xml:space="preserve">50</t>
  </si>
  <si>
    <t xml:space="preserve">on / attn 10 / act 0</t>
  </si>
  <si>
    <t xml:space="preserve">60</t>
  </si>
  <si>
    <t xml:space="preserve">70</t>
  </si>
  <si>
    <t xml:space="preserve">on / attn 10 / act -</t>
  </si>
  <si>
    <t xml:space="preserve">80</t>
  </si>
  <si>
    <t xml:space="preserve">off / attn 1 / act -</t>
  </si>
  <si>
    <t xml:space="preserve">90</t>
  </si>
  <si>
    <t xml:space="preserve">off / attn 10 / act 600</t>
  </si>
  <si>
    <t xml:space="preserve">off / attn 2 / act 600</t>
  </si>
  <si>
    <t xml:space="preserve">110</t>
  </si>
  <si>
    <t xml:space="preserve">off / attn 10 / act 3600</t>
  </si>
  <si>
    <t xml:space="preserve">on / attn 10 / act 3600</t>
  </si>
  <si>
    <t xml:space="preserve">120</t>
  </si>
  <si>
    <t xml:space="preserve">on / attn 10 / act 600</t>
  </si>
  <si>
    <t xml:space="preserve">130</t>
  </si>
  <si>
    <t xml:space="preserve">off / attn 10 / act -</t>
  </si>
  <si>
    <t xml:space="preserve">140</t>
  </si>
  <si>
    <t xml:space="preserve">150</t>
  </si>
  <si>
    <t xml:space="preserve">160</t>
  </si>
  <si>
    <t xml:space="preserve">170</t>
  </si>
  <si>
    <t xml:space="preserve">180</t>
  </si>
  <si>
    <t xml:space="preserve">off / attn 50 / act 172800</t>
  </si>
  <si>
    <t xml:space="preserve">210</t>
  </si>
  <si>
    <t xml:space="preserve">on / attn 5 / act 300</t>
  </si>
  <si>
    <t xml:space="preserve">220</t>
  </si>
  <si>
    <t xml:space="preserve">250</t>
  </si>
  <si>
    <t xml:space="preserve">off / attn 5 / act -</t>
  </si>
  <si>
    <t xml:space="preserve">on / attn 5 / act -</t>
  </si>
  <si>
    <t xml:space="preserve">260</t>
  </si>
  <si>
    <t xml:space="preserve">off / attn 10 / act 21600</t>
  </si>
  <si>
    <t xml:space="preserve">270</t>
  </si>
  <si>
    <t xml:space="preserve">off / attn 1 / act 0</t>
  </si>
  <si>
    <t xml:space="preserve">280</t>
  </si>
  <si>
    <t xml:space="preserve">off / attn 1 / act 900</t>
  </si>
  <si>
    <t xml:space="preserve">on / attn 1 / act 900</t>
  </si>
  <si>
    <t xml:space="preserve">290</t>
  </si>
  <si>
    <t xml:space="preserve">300</t>
  </si>
  <si>
    <t xml:space="preserve">off / attn 1 / act 43200</t>
  </si>
  <si>
    <t xml:space="preserve">310</t>
  </si>
  <si>
    <t xml:space="preserve">off / attn 1000 / act -</t>
  </si>
  <si>
    <t xml:space="preserve">320</t>
  </si>
  <si>
    <t xml:space="preserve">330</t>
  </si>
  <si>
    <t xml:space="preserve">off / attn 1 / act 7</t>
  </si>
  <si>
    <t xml:space="preserve">350</t>
  </si>
  <si>
    <t xml:space="preserve">360</t>
  </si>
  <si>
    <t xml:space="preserve">370</t>
  </si>
  <si>
    <t xml:space="preserve">380</t>
  </si>
  <si>
    <t xml:space="preserve">390</t>
  </si>
  <si>
    <t xml:space="preserve">400</t>
  </si>
  <si>
    <t xml:space="preserve">410</t>
  </si>
  <si>
    <t xml:space="preserve">off / attn 50 / act 0</t>
  </si>
  <si>
    <t xml:space="preserve">420</t>
  </si>
  <si>
    <t xml:space="preserve">430</t>
  </si>
  <si>
    <t xml:space="preserve">on / attn 1 / act -</t>
  </si>
  <si>
    <t xml:space="preserve">1000</t>
  </si>
  <si>
    <t xml:space="preserve">Tasks committed outside of a Shift</t>
  </si>
  <si>
    <t xml:space="preserve">on / attn 0 / act 1</t>
  </si>
  <si>
    <t xml:space="preserve">1001</t>
  </si>
  <si>
    <t xml:space="preserve">Emergency Work</t>
  </si>
  <si>
    <t xml:space="preserve">on / attn 20 / act -</t>
  </si>
  <si>
    <t xml:space="preserve">1002</t>
  </si>
  <si>
    <t xml:space="preserve">nonsense</t>
  </si>
  <si>
    <t xml:space="preserve">on / attn 50 / act -</t>
  </si>
  <si>
    <t xml:space="preserve">2000</t>
  </si>
  <si>
    <t xml:space="preserve">Test</t>
  </si>
  <si>
    <t xml:space="preserve">2001</t>
  </si>
  <si>
    <t xml:space="preserve">test 1</t>
  </si>
  <si>
    <t xml:space="preserve">on / attn 50 / act 5</t>
  </si>
  <si>
    <t xml:space="preserve">2005</t>
  </si>
  <si>
    <t xml:space="preserve">Test Case</t>
  </si>
  <si>
    <t xml:space="preserve">2500</t>
  </si>
  <si>
    <t xml:space="preserve">Test Case 25</t>
  </si>
  <si>
    <t xml:space="preserve">3001</t>
  </si>
  <si>
    <t xml:space="preserve">test123</t>
  </si>
  <si>
    <t xml:space="preserve">CONTRACTORS</t>
  </si>
  <si>
    <t xml:space="preserve">440</t>
  </si>
  <si>
    <t xml:space="preserve">450</t>
  </si>
  <si>
    <t xml:space="preserve">Tasks Committed outside of a Shift</t>
  </si>
  <si>
    <t xml:space="preserve">Group</t>
  </si>
  <si>
    <t xml:space="preserve">Permission</t>
  </si>
  <si>
    <t xml:space="preserve">Note</t>
  </si>
  <si>
    <t xml:space="preserve">PROD (allow/edit)</t>
  </si>
  <si>
    <t xml:space="preserve">ACC (UAT) (allow/edit)</t>
  </si>
  <si>
    <t xml:space="preserve">STG (allow/edit)</t>
  </si>
  <si>
    <t xml:space="preserve">TST (allow/edit)</t>
  </si>
  <si>
    <t xml:space="preserve">Administrator</t>
  </si>
  <si>
    <t xml:space="preserve">AdminSupportView</t>
  </si>
  <si>
    <t xml:space="preserve">T / T</t>
  </si>
  <si>
    <t xml:space="preserve">AdministrationWorkspace</t>
  </si>
  <si>
    <t xml:space="preserve">T / F</t>
  </si>
  <si>
    <t xml:space="preserve">Assist</t>
  </si>
  <si>
    <t xml:space="preserve">DataCaptureARCClearPersonalDataView</t>
  </si>
  <si>
    <t xml:space="preserve">DataCaptureView</t>
  </si>
  <si>
    <t xml:space="preserve">FilterResourceActivityBased</t>
  </si>
  <si>
    <t xml:space="preserve">GatewayQuerySystemData</t>
  </si>
  <si>
    <t xml:space="preserve">GatewaySubmitData</t>
  </si>
  <si>
    <t xml:space="preserve">GatewaySubmitSystemData</t>
  </si>
  <si>
    <t xml:space="preserve">GatewaySystemManagement</t>
  </si>
  <si>
    <t xml:space="preserve">History</t>
  </si>
  <si>
    <t xml:space="preserve">ManChaCommitedResourceFixed</t>
  </si>
  <si>
    <t xml:space="preserve">ManChaMassFix</t>
  </si>
  <si>
    <t xml:space="preserve">ModellingARPDeleteProvisional</t>
  </si>
  <si>
    <t xml:space="preserve">ModellingARPDivisionSelector</t>
  </si>
  <si>
    <t xml:space="preserve">ModellingResourcePlannerDel</t>
  </si>
  <si>
    <t xml:space="preserve">ModifyViewableTasks</t>
  </si>
  <si>
    <t xml:space="preserve">MultiScreen</t>
  </si>
  <si>
    <t xml:space="preserve">PlanningARPAllowRoleOverride</t>
  </si>
  <si>
    <t xml:space="preserve">PlanningARPAllowSaveToProvisionalRota</t>
  </si>
  <si>
    <t xml:space="preserve">PlanningARPAutoGenerateRota</t>
  </si>
  <si>
    <t xml:space="preserve">PlanningARPCreateMasterRota</t>
  </si>
  <si>
    <t xml:space="preserve">ROOT</t>
  </si>
  <si>
    <t xml:space="preserve">ScheduleAnalysisView</t>
  </si>
  <si>
    <t xml:space="preserve">SimulationOSV</t>
  </si>
  <si>
    <t xml:space="preserve">UserSchedulesDownload</t>
  </si>
  <si>
    <t xml:space="preserve">UserSchedulesUpload</t>
  </si>
  <si>
    <t xml:space="preserve">ViewAllDatasets</t>
  </si>
  <si>
    <t xml:space="preserve">ViewAllObjectGroups</t>
  </si>
  <si>
    <t xml:space="preserve">FNDSCH_ADMIN</t>
  </si>
  <si>
    <t xml:space="preserve">FNDSCH_RUNTIME</t>
  </si>
  <si>
    <t xml:space="preserve">GOGHSUPERUSER</t>
  </si>
  <si>
    <t xml:space="preserve">GatewayAllowURLCredentials</t>
  </si>
  <si>
    <t xml:space="preserve">Integration</t>
  </si>
  <si>
    <t xml:space="preserve">AdminEventsView</t>
  </si>
  <si>
    <t xml:space="preserve">F / T</t>
  </si>
  <si>
    <t xml:space="preserve">ModellingResourcePlannerEdit</t>
  </si>
  <si>
    <t xml:space="preserve">PlanningWorkspace</t>
  </si>
  <si>
    <t xml:space="preserve">Planning_ResourcePlannerShiftDetailsDelete</t>
  </si>
  <si>
    <t xml:space="preserve">Planning_ResourcePlannerShiftDetailsView</t>
  </si>
  <si>
    <t xml:space="preserve">Planning_ShiftDetailsDetailsEdit</t>
  </si>
  <si>
    <t xml:space="preserve">SchedulingWorkspace</t>
  </si>
  <si>
    <t xml:space="preserve">SimulationWISE</t>
  </si>
  <si>
    <t xml:space="preserve">SimulationWorkspace</t>
  </si>
  <si>
    <t xml:space="preserve">IntegrationUsers</t>
  </si>
  <si>
    <t xml:space="preserve">ItineraryOnly</t>
  </si>
  <si>
    <t xml:space="preserve">ActivityView</t>
  </si>
  <si>
    <t xml:space="preserve">F / F</t>
  </si>
  <si>
    <t xml:space="preserve">AdminEventsViewServerEvents</t>
  </si>
  <si>
    <t xml:space="preserve">AppointmentBookingView</t>
  </si>
  <si>
    <t xml:space="preserve">CompareView</t>
  </si>
  <si>
    <t xml:space="preserve">Exceptions</t>
  </si>
  <si>
    <t xml:space="preserve">ExplanationsView</t>
  </si>
  <si>
    <t xml:space="preserve">Gateway</t>
  </si>
  <si>
    <t xml:space="preserve">IsochroneViewer</t>
  </si>
  <si>
    <t xml:space="preserve">ItineraryView</t>
  </si>
  <si>
    <t xml:space="preserve">ManChaAcknowledgeExceptions</t>
  </si>
  <si>
    <t xml:space="preserve">ManChaActivityDateTimeFixed</t>
  </si>
  <si>
    <t xml:space="preserve">ManChaActivityResourceFixed</t>
  </si>
  <si>
    <t xml:space="preserve">MapView</t>
  </si>
  <si>
    <t xml:space="preserve">ResourceView</t>
  </si>
  <si>
    <t xml:space="preserve">SavedSchedules</t>
  </si>
  <si>
    <t xml:space="preserve">ScheduleFilters</t>
  </si>
  <si>
    <t xml:space="preserve">TargetBasedScheduling</t>
  </si>
  <si>
    <t xml:space="preserve">ViewAllEvents</t>
  </si>
  <si>
    <t xml:space="preserve">ViewAllResources</t>
  </si>
  <si>
    <t xml:space="preserve">ViewUncommittedActivities</t>
  </si>
  <si>
    <t xml:space="preserve">NORTH</t>
  </si>
  <si>
    <t xml:space="preserve">ManualChanges</t>
  </si>
  <si>
    <t xml:space="preserve">SAST_SYSTEM_ADMIN</t>
  </si>
  <si>
    <t xml:space="preserve">DataCaptureARCSnapshotRestoreColumn</t>
  </si>
  <si>
    <t xml:space="preserve">SOUTH</t>
  </si>
  <si>
    <t xml:space="preserve">ST_Contractor</t>
  </si>
  <si>
    <t xml:space="preserve">ActInfoActivityPools</t>
  </si>
  <si>
    <t xml:space="preserve">ActInfoMemo</t>
  </si>
  <si>
    <t xml:space="preserve">ActInfoParts</t>
  </si>
  <si>
    <t xml:space="preserve">AdminLicenseView</t>
  </si>
  <si>
    <t xml:space="preserve">ChildScreenActivity</t>
  </si>
  <si>
    <t xml:space="preserve">ChildScreenMap</t>
  </si>
  <si>
    <t xml:space="preserve">GatewayQueryData</t>
  </si>
  <si>
    <t xml:space="preserve">GatewayQueryReportingData</t>
  </si>
  <si>
    <t xml:space="preserve">ManChaActivityBaseDuration</t>
  </si>
  <si>
    <t xml:space="preserve">ManChaActivityDurationOverride</t>
  </si>
  <si>
    <t xml:space="preserve">ManChaActivityExpectedArrivalTime</t>
  </si>
  <si>
    <t xml:space="preserve">ManChaActivityStatus</t>
  </si>
  <si>
    <t xml:space="preserve">ManChaExtCreatePrivate</t>
  </si>
  <si>
    <t xml:space="preserve">ManChaExtDeletePrivate</t>
  </si>
  <si>
    <t xml:space="preserve">ManChaHistoryPanel</t>
  </si>
  <si>
    <t xml:space="preserve">ManChaNoValidation</t>
  </si>
  <si>
    <t xml:space="preserve">ManChaResourceAttentionOnOff</t>
  </si>
  <si>
    <t xml:space="preserve">ManChaResourceBreakOnOff</t>
  </si>
  <si>
    <t xml:space="preserve">ManChaResourceLogonLogoff</t>
  </si>
  <si>
    <t xml:space="preserve">ManChaSwitchPreviewMode</t>
  </si>
  <si>
    <t xml:space="preserve">ManChaValidationOverride</t>
  </si>
  <si>
    <t xml:space="preserve">ManChaValidationView</t>
  </si>
  <si>
    <t xml:space="preserve">PlanningSlotUsageRulesView</t>
  </si>
  <si>
    <t xml:space="preserve">ResInfoAttributes</t>
  </si>
  <si>
    <t xml:space="preserve">ResInfoCapacities</t>
  </si>
  <si>
    <t xml:space="preserve">ResInfoDetails</t>
  </si>
  <si>
    <t xml:space="preserve">ResInfoMemo</t>
  </si>
  <si>
    <t xml:space="preserve">ResInfoParts</t>
  </si>
  <si>
    <t xml:space="preserve">ResInfoResourcePools</t>
  </si>
  <si>
    <t xml:space="preserve">ResInfoTeams</t>
  </si>
  <si>
    <t xml:space="preserve">ResourceInfo</t>
  </si>
  <si>
    <t xml:space="preserve">ResourcePoolInfo</t>
  </si>
  <si>
    <t xml:space="preserve">VehicleInfo</t>
  </si>
  <si>
    <t xml:space="preserve">ST_Dispatch</t>
  </si>
  <si>
    <t xml:space="preserve">ActInfoPreCoReqs</t>
  </si>
  <si>
    <t xml:space="preserve">ChildScreenResource</t>
  </si>
  <si>
    <t xml:space="preserve">ExplanationRequestCreate</t>
  </si>
  <si>
    <t xml:space="preserve">ModellingResourcePlannerView</t>
  </si>
  <si>
    <t xml:space="preserve">PlanningAdministration</t>
  </si>
  <si>
    <t xml:space="preserve">PlanningAdvancedResourcePlanning</t>
  </si>
  <si>
    <t xml:space="preserve">PlanningDataManagement</t>
  </si>
  <si>
    <t xml:space="preserve">ST_Ops_Mgr</t>
  </si>
  <si>
    <t xml:space="preserve">spelling differs across envs</t>
  </si>
  <si>
    <t xml:space="preserve">FilterShowFullAllocationDetails</t>
  </si>
  <si>
    <t xml:space="preserve">ST_Planner</t>
  </si>
  <si>
    <t xml:space="preserve">AppointmentTempView</t>
  </si>
  <si>
    <t xml:space="preserve">PlanningActivityModellingView</t>
  </si>
  <si>
    <t xml:space="preserve">PlanningActivityTempView</t>
  </si>
  <si>
    <t xml:space="preserve">PlanningActivityTypesView</t>
  </si>
  <si>
    <t xml:space="preserve">PlanningAttributesView</t>
  </si>
  <si>
    <t xml:space="preserve">PlanningBucketsView</t>
  </si>
  <si>
    <t xml:space="preserve">PlanningCalendarsSpecialDaysView</t>
  </si>
  <si>
    <t xml:space="preserve">PlanningCapacitiesView</t>
  </si>
  <si>
    <t xml:space="preserve">PlanningContractsView</t>
  </si>
  <si>
    <t xml:space="preserve">PlanningCustomMetricsView</t>
  </si>
  <si>
    <t xml:space="preserve">PlanningCustomersView</t>
  </si>
  <si>
    <t xml:space="preserve">PlanningDepotTransferSettingsView</t>
  </si>
  <si>
    <t xml:space="preserve">PlanningDivTypeView</t>
  </si>
  <si>
    <t xml:space="preserve">PlanningDivisionsView</t>
  </si>
  <si>
    <t xml:space="preserve">PlanningFuelTypesView</t>
  </si>
  <si>
    <t xml:space="preserve">PlanningIconsView</t>
  </si>
  <si>
    <t xml:space="preserve">PlanningLocTypesView</t>
  </si>
  <si>
    <t xml:space="preserve">PlanningLocationsView</t>
  </si>
  <si>
    <t xml:space="preserve">PlanningMembershipCatView</t>
  </si>
  <si>
    <t xml:space="preserve">PlanningOperationView</t>
  </si>
  <si>
    <t xml:space="preserve">PlanningPartsView</t>
  </si>
  <si>
    <t xml:space="preserve">PlanningPositionsView</t>
  </si>
  <si>
    <t xml:space="preserve">PlanningRequirementsView</t>
  </si>
  <si>
    <t xml:space="preserve">PlanningResTypesView</t>
  </si>
  <si>
    <t xml:space="preserve">PlanningResourcePoolSetsView</t>
  </si>
  <si>
    <t xml:space="preserve">PlanningResourcePoolsView</t>
  </si>
  <si>
    <t xml:space="preserve">PlanningResourcesView</t>
  </si>
  <si>
    <t xml:space="preserve">PlanningRolesView</t>
  </si>
  <si>
    <t xml:space="preserve">PlanningRuleCollectionsView</t>
  </si>
  <si>
    <t xml:space="preserve">PlanningRulesView</t>
  </si>
  <si>
    <t xml:space="preserve">PlanningSLATemplateView</t>
  </si>
  <si>
    <t xml:space="preserve">PlanningSLATypesView</t>
  </si>
  <si>
    <t xml:space="preserve">PlanningSeparationGroupsView</t>
  </si>
  <si>
    <t xml:space="preserve">PlanningSeparationModelsView</t>
  </si>
  <si>
    <t xml:space="preserve">PlanningShiftCatView</t>
  </si>
  <si>
    <t xml:space="preserve">PlanningShiftTempSetView</t>
  </si>
  <si>
    <t xml:space="preserve">PlanningShiftTempView</t>
  </si>
  <si>
    <t xml:space="preserve">PlanningSkillTypesView</t>
  </si>
  <si>
    <t xml:space="preserve">PlanningSkillsView</t>
  </si>
  <si>
    <t xml:space="preserve">PlanningSplitModelsEdit</t>
  </si>
  <si>
    <t xml:space="preserve">PlanningSplitModelsView</t>
  </si>
  <si>
    <t xml:space="preserve">PlanningSplitModelsViewAddDelete</t>
  </si>
  <si>
    <t xml:space="preserve">PlanningTeamsView</t>
  </si>
  <si>
    <t xml:space="preserve">PlanningTransferRuleTemplatesView</t>
  </si>
  <si>
    <t xml:space="preserve">PlanningTravelCostsViewPenaltiesGrid</t>
  </si>
  <si>
    <t xml:space="preserve">PlanningUnavailCatView</t>
  </si>
  <si>
    <t xml:space="preserve">PlanningUnavailableView</t>
  </si>
  <si>
    <t xml:space="preserve">PlanningUsageClassView</t>
  </si>
  <si>
    <t xml:space="preserve">PlanningUsageModelView</t>
  </si>
  <si>
    <t xml:space="preserve">PlanningUtilTempView</t>
  </si>
  <si>
    <t xml:space="preserve">PlanningVehicleClassView</t>
  </si>
  <si>
    <t xml:space="preserve">PlanningVehicleModelsView</t>
  </si>
  <si>
    <t xml:space="preserve">PlanningVehicleOwnershipTypesView</t>
  </si>
  <si>
    <t xml:space="preserve">PlanningVehiclesView</t>
  </si>
  <si>
    <t xml:space="preserve">ST_Scheduler</t>
  </si>
  <si>
    <t xml:space="preserve">ST_WFM_MGR</t>
  </si>
  <si>
    <t xml:space="preserve">AdminDisplayContextsView</t>
  </si>
  <si>
    <t xml:space="preserve">AdminGroupsView</t>
  </si>
  <si>
    <t xml:space="preserve">AdminImportExportView</t>
  </si>
  <si>
    <t xml:space="preserve">AdminListsView</t>
  </si>
  <si>
    <t xml:space="preserve">AdminModellingDatasetsView</t>
  </si>
  <si>
    <t xml:space="preserve">AdminParametersView</t>
  </si>
  <si>
    <t xml:space="preserve">AdminPerformanceView</t>
  </si>
  <si>
    <t xml:space="preserve">AdminPermissionsView</t>
  </si>
  <si>
    <t xml:space="preserve">AdminProfilesView</t>
  </si>
  <si>
    <t xml:space="preserve">AdminSchedulingDatasetsView</t>
  </si>
  <si>
    <t xml:space="preserve">AdminSchedulingExceptionsView</t>
  </si>
  <si>
    <t xml:space="preserve">AdminSessionsView</t>
  </si>
  <si>
    <t xml:space="preserve">AdminTerminologyView</t>
  </si>
  <si>
    <t xml:space="preserve">AdminTravelProfilesView</t>
  </si>
  <si>
    <t xml:space="preserve">AdminUserDataView</t>
  </si>
  <si>
    <t xml:space="preserve">AdminUserObjectView</t>
  </si>
  <si>
    <t xml:space="preserve">AdminUsersView</t>
  </si>
  <si>
    <t xml:space="preserve">Attribute</t>
  </si>
  <si>
    <t xml:space="preserve">59a0f13b182240c9c3b013122ed5a6bf</t>
  </si>
  <si>
    <t xml:space="preserve">Present as</t>
  </si>
  <si>
    <t xml:space="preserve">Parent group</t>
  </si>
  <si>
    <t xml:space="preserve">Permission rows, allow + deny (count)</t>
  </si>
  <si>
    <t xml:space="preserve">Grants admin access permissions to user</t>
  </si>
  <si>
    <t xml:space="preserve">GOGH_ADMIN_PERMISSION</t>
  </si>
  <si>
    <t xml:space="preserve">Integration Permissions</t>
  </si>
  <si>
    <t xml:space="preserve">Integration users with access to the Scheduling Gateway</t>
  </si>
  <si>
    <t xml:space="preserve">Resource user with access restricted to the Itinerary view only</t>
  </si>
  <si>
    <t xml:space="preserve">North␣</t>
  </si>
  <si>
    <t xml:space="preserve">North Site</t>
  </si>
  <si>
    <t xml:space="preserve">REG</t>
  </si>
  <si>
    <t xml:space="preserve">Reg Site</t>
  </si>
  <si>
    <t xml:space="preserve">South</t>
  </si>
  <si>
    <t xml:space="preserve">South Site</t>
  </si>
  <si>
    <t xml:space="preserve">SaskTel Contractors Group - ALL - limiting visibility</t>
  </si>
  <si>
    <t xml:space="preserve">SaskTel Contractors Group - ALL - limiting visibility␣</t>
  </si>
  <si>
    <t xml:space="preserve">SaskTel Dispatch</t>
  </si>
  <si>
    <t xml:space="preserve">Sasktel Dispatch</t>
  </si>
  <si>
    <t xml:space="preserve">ST_Ops_MGR</t>
  </si>
  <si>
    <t xml:space="preserve">SaskTel Ops Manager/Director</t>
  </si>
  <si>
    <t xml:space="preserve">Sasktel Ops Manager/Director</t>
  </si>
  <si>
    <t xml:space="preserve">SaskTel Resource Planner</t>
  </si>
  <si>
    <t xml:space="preserve">Sasktel Resource Planner</t>
  </si>
  <si>
    <t xml:space="preserve">SaskTel Scheduler</t>
  </si>
  <si>
    <t xml:space="preserve">Sasktel Scheduler</t>
  </si>
  <si>
    <t xml:space="preserve">SaskTel WFM Manager</t>
  </si>
  <si>
    <t xml:space="preserve">Sasktel WFM Manager</t>
  </si>
  <si>
    <t xml:space="preserve">AdminSubOrganisationsView</t>
  </si>
  <si>
    <t xml:space="preserve">AdminSystemDiagramView</t>
  </si>
  <si>
    <t xml:space="preserve">AdminSystemView</t>
  </si>
  <si>
    <t xml:space="preserve">GatewayBasicHttpAuthentication</t>
  </si>
  <si>
    <t xml:space="preserve">GatewayOpenIdAllowStandardAuthentication</t>
  </si>
  <si>
    <t xml:space="preserve">Org-default list</t>
  </si>
  <si>
    <t xml:space="preserve">Position</t>
  </si>
  <si>
    <t xml:space="preserve">List type 5</t>
  </si>
  <si>
    <t xml:space="preserve">Activity ID</t>
  </si>
  <si>
    <t xml:space="preserve">Call ID</t>
  </si>
  <si>
    <t xml:space="preserve">Street</t>
  </si>
  <si>
    <t xml:space="preserve">Service ID</t>
  </si>
  <si>
    <t xml:space="preserve">Address</t>
  </si>
  <si>
    <t xml:space="preserve">Siebel Order Number</t>
  </si>
  <si>
    <t xml:space="preserve">City</t>
  </si>
  <si>
    <t xml:space="preserve">Job ID</t>
  </si>
  <si>
    <t xml:space="preserve">GB</t>
  </si>
  <si>
    <t xml:space="preserve">OOS</t>
  </si>
  <si>
    <t xml:space="preserve">Customer Name</t>
  </si>
  <si>
    <t xml:space="preserve">Hotspot Type</t>
  </si>
  <si>
    <t xml:space="preserve">Start</t>
  </si>
  <si>
    <t xml:space="preserve">End</t>
  </si>
  <si>
    <t xml:space="preserve">Appt Start</t>
  </si>
  <si>
    <t xml:space="preserve">Resource Start</t>
  </si>
  <si>
    <t xml:space="preserve">Appt End</t>
  </si>
  <si>
    <t xml:space="preserve">Resource End</t>
  </si>
  <si>
    <t xml:space="preserve">(none)</t>
  </si>
  <si>
    <t xml:space="preserve">Duration</t>
  </si>
  <si>
    <t xml:space="preserve">Resource</t>
  </si>
  <si>
    <t xml:space="preserve">List type 11</t>
  </si>
  <si>
    <t xml:space="preserve">Network ID</t>
  </si>
  <si>
    <t xml:space="preserve">Type</t>
  </si>
  <si>
    <t xml:space="preserve">Phone</t>
  </si>
  <si>
    <t xml:space="preserve">Email</t>
  </si>
  <si>
    <t xml:space="preserve">Home Street</t>
  </si>
  <si>
    <t xml:space="preserve">Home City</t>
  </si>
  <si>
    <t xml:space="preserve">List type 12</t>
  </si>
  <si>
    <t xml:space="preserve">Type Category</t>
  </si>
  <si>
    <t xml:space="preserve">Task Type</t>
  </si>
  <si>
    <t xml:space="preserve">Activity Base Value</t>
  </si>
  <si>
    <t xml:space="preserve">List type 101</t>
  </si>
  <si>
    <t xml:space="preserve">Resource Number</t>
  </si>
  <si>
    <t xml:space="preserve">Resource Type</t>
  </si>
  <si>
    <t xml:space="preserve">Resource Email</t>
  </si>
  <si>
    <t xml:space="preserve">Resource Email␣</t>
  </si>
  <si>
    <t xml:space="preserve">Resource Phone</t>
  </si>
  <si>
    <t xml:space="preserve">Manager Email</t>
  </si>
  <si>
    <t xml:space="preserve">Manager Phone</t>
  </si>
  <si>
    <t xml:space="preserve">Director Email</t>
  </si>
  <si>
    <t xml:space="preserve">Director Phone</t>
  </si>
  <si>
    <t xml:space="preserve">District</t>
  </si>
  <si>
    <t xml:space="preserve">Sub District</t>
  </si>
  <si>
    <t xml:space="preserve">Feed Type</t>
  </si>
  <si>
    <t xml:space="preserve">Cost Center</t>
  </si>
  <si>
    <t xml:space="preserve">Vehicle ID</t>
  </si>
  <si>
    <t xml:space="preserve">First Name</t>
  </si>
  <si>
    <t xml:space="preserve">Surname</t>
  </si>
  <si>
    <t xml:space="preserve">Time Zone</t>
  </si>
  <si>
    <t xml:space="preserve">Employer</t>
  </si>
  <si>
    <t xml:space="preserve">AVAILABLE</t>
  </si>
  <si>
    <t xml:space="preserve">ID</t>
  </si>
  <si>
    <t xml:space="preserve">DETAILS CARD</t>
  </si>
  <si>
    <t xml:space="preserve">lat</t>
  </si>
  <si>
    <t xml:space="preserve">long</t>
  </si>
  <si>
    <t xml:space="preserve">List type 184</t>
  </si>
  <si>
    <t xml:space="preserve">Work Task ID</t>
  </si>
  <si>
    <t xml:space="preserve">WDM Circuit</t>
  </si>
  <si>
    <t xml:space="preserve">WDM Request</t>
  </si>
  <si>
    <t xml:space="preserve">Repeat</t>
  </si>
  <si>
    <t xml:space="preserve">Rebook</t>
  </si>
  <si>
    <t xml:space="preserve">Multi Task</t>
  </si>
  <si>
    <t xml:space="preserve">Multi Assignment</t>
  </si>
  <si>
    <t xml:space="preserve">Start Time</t>
  </si>
  <si>
    <t xml:space="preserve">Start time</t>
  </si>
  <si>
    <t xml:space="preserve">Appointment Start</t>
  </si>
  <si>
    <t xml:space="preserve">Base</t>
  </si>
  <si>
    <t xml:space="preserve">region</t>
  </si>
  <si>
    <t xml:space="preserve">Item</t>
  </si>
  <si>
    <t xml:space="preserve">Param: DEFAULT / TravelCalculationOption</t>
  </si>
  <si>
    <t xml:space="preserve">Param: CommittedActivitiesProfile / TravelCalculationOption</t>
  </si>
  <si>
    <t xml:space="preserve">Param: STRAIGHTLINE / TravelCalculationOption</t>
  </si>
  <si>
    <t xml:space="preserve">Param: DEFAULT / RealTimeTravelProvider</t>
  </si>
  <si>
    <t xml:space="preserve">Param: CommittedActivitiesProfile / RealTimeTravelProvider</t>
  </si>
  <si>
    <t xml:space="preserve">Param: DEFAULT / TravelTimeProfileId</t>
  </si>
  <si>
    <t xml:space="preserve">Param: CommittedActivitiesProfile / TravelTimeProfileId</t>
  </si>
  <si>
    <t xml:space="preserve">Param: STRAIGHTLINE / TravelTimeProfileId</t>
  </si>
  <si>
    <t xml:space="preserve">Param: DEFAULT / AllowSplitTravel</t>
  </si>
  <si>
    <t xml:space="preserve">Param: DEFAULT / HierarchicalDatabaseMatrixId</t>
  </si>
  <si>
    <t xml:space="preserve">Travel time profile IDs</t>
  </si>
  <si>
    <t xml:space="preserve">DEFAULT, TEST</t>
  </si>
  <si>
    <t xml:space="preserve">Weighting rows</t>
  </si>
  <si>
    <t xml:space="preserve">2</t>
  </si>
  <si>
    <t xml:space="preserve">0</t>
  </si>
  <si>
    <t xml:space="preserve">Weighting time zone(s)</t>
  </si>
  <si>
    <t xml:space="preserve">America/Regina</t>
  </si>
  <si>
    <t xml:space="preserve">Polygons defined</t>
  </si>
  <si>
    <t xml:space="preserve">343</t>
  </si>
  <si>
    <t xml:space="preserve">Polygon-weighting links</t>
  </si>
  <si>
    <t xml:space="preserve">Polygon weighting range</t>
  </si>
  <si>
    <t xml:space="preserve">0.5 – 0.5</t>
  </si>
  <si>
    <t xml:space="preserve">0.12 – 2.84</t>
  </si>
  <si>
    <t xml:space="preserve">Polygon IDs (sample)</t>
  </si>
  <si>
    <t xml:space="preserve">Lucky lake 1, Lucky lake 2</t>
  </si>
  <si>
    <t xml:space="preserve">B3-01-HH1H-HL2V-01, B3-01-HH1H-HL2V-02 …</t>
  </si>
  <si>
    <t xml:space="preserve">Key</t>
  </si>
  <si>
    <t xml:space="preserve">Notes</t>
  </si>
  <si>
    <t xml:space="preserve">Profile for Contractor views</t>
  </si>
  <si>
    <t xml:space="preserve">THEME</t>
  </si>
  <si>
    <t xml:space="preserve">DATASET</t>
  </si>
  <si>
    <t xml:space="preserve">default profile</t>
  </si>
  <si>
    <t xml:space="preserve">Straight Line</t>
  </si>
  <si>
    <t xml:space="preserve">Terminology</t>
  </si>
  <si>
    <t xml:space="preserve">activity</t>
  </si>
  <si>
    <t xml:space="preserve">alias (capitalised singular)</t>
  </si>
  <si>
    <t xml:space="preserve">Activity</t>
  </si>
  <si>
    <t xml:space="preserve">on site</t>
  </si>
  <si>
    <t xml:space="preserve">Work Started</t>
  </si>
  <si>
    <t xml:space="preserve">Exc type data</t>
  </si>
  <si>
    <t xml:space="preserve">DEFAULT / type 60 / seq 0</t>
  </si>
  <si>
    <t xml:space="preserve">active=false</t>
  </si>
  <si>
    <t xml:space="preserve">DEFAULT / type 60 / seq 1</t>
  </si>
  <si>
    <t xml:space="preserve">active=true</t>
  </si>
  <si>
    <t xml:space="preserve">Organisation</t>
  </si>
  <si>
    <t xml:space="preserve">account_id</t>
  </si>
  <si>
    <t xml:space="preserve">sate</t>
  </si>
  <si>
    <t xml:space="preserve">name</t>
  </si>
  <si>
    <t xml:space="preserve">status</t>
  </si>
  <si>
    <t xml:space="preserve">organisation_id</t>
  </si>
  <si>
    <t xml:space="preserve">Table</t>
  </si>
  <si>
    <t xml:space="preserve">Application_Data</t>
  </si>
  <si>
    <t xml:space="preserve">Not compared - per-user saved filters and screen settings</t>
  </si>
  <si>
    <t xml:space="preserve">Display_Context</t>
  </si>
  <si>
    <t xml:space="preserve">Not compared - nothing meaningful to compare</t>
  </si>
  <si>
    <t xml:space="preserve">Entry</t>
  </si>
  <si>
    <t xml:space="preserve">Compared – see tab: Lists (org defaults only)</t>
  </si>
  <si>
    <t xml:space="preserve">Group_Permission</t>
  </si>
  <si>
    <t xml:space="preserve">Compared – see tab: Group Permissions</t>
  </si>
  <si>
    <t xml:space="preserve">Compared – see tab: Groups</t>
  </si>
  <si>
    <t xml:space="preserve">List</t>
  </si>
  <si>
    <t xml:space="preserve">List_Entry</t>
  </si>
  <si>
    <t xml:space="preserve">Org_Schedule_Exc_Type_Data</t>
  </si>
  <si>
    <t xml:space="preserve">Compared – see tab: Profiles &amp; Other</t>
  </si>
  <si>
    <t xml:space="preserve">Org_Schedule_Exception_Type</t>
  </si>
  <si>
    <t xml:space="preserve">Compared – see tab: Exception Types</t>
  </si>
  <si>
    <t xml:space="preserve">Organisation_List</t>
  </si>
  <si>
    <t xml:space="preserve">Compared – see tab: Lists</t>
  </si>
  <si>
    <t xml:space="preserve">Organisation_Permission</t>
  </si>
  <si>
    <t xml:space="preserve">Compared – see tab: Org Permissions</t>
  </si>
  <si>
    <t xml:space="preserve">Polygon</t>
  </si>
  <si>
    <t xml:space="preserve">Compared – see tab: Travel</t>
  </si>
  <si>
    <t xml:space="preserve">Polyline</t>
  </si>
  <si>
    <t xml:space="preserve">Profile_Parameter</t>
  </si>
  <si>
    <t xml:space="preserve">Compared – see tab: Parameters</t>
  </si>
  <si>
    <t xml:space="preserve">System_Version</t>
  </si>
  <si>
    <t xml:space="preserve">Not compared - version history (excluded per request)</t>
  </si>
  <si>
    <t xml:space="preserve">Terminology_Organisation</t>
  </si>
  <si>
    <t xml:space="preserve">Travel_Time_Polygon</t>
  </si>
  <si>
    <t xml:space="preserve">Travel_Time_Profile</t>
  </si>
  <si>
    <t xml:space="preserve">Travel_Time_Weighting</t>
  </si>
  <si>
    <t xml:space="preserve">User_Application_Data</t>
  </si>
  <si>
    <t xml:space="preserve">Not compared - links users to their saved filters and settings</t>
  </si>
  <si>
    <t xml:space="preserve">User_Custom_List</t>
  </si>
  <si>
    <t xml:space="preserve">Not compared - per-user custom list layouts</t>
  </si>
  <si>
    <t xml:space="preserve">User_External_Task</t>
  </si>
  <si>
    <t xml:space="preserve">Not compared - external tasks linked to individual users</t>
  </si>
  <si>
    <t xml:space="preserve">User_Group</t>
  </si>
  <si>
    <t xml:space="preserve">Not compared - which users belong to which groups</t>
  </si>
  <si>
    <t xml:space="preserve">User_List</t>
  </si>
  <si>
    <t xml:space="preserve">Not compared - per-user list/column layouts</t>
  </si>
  <si>
    <t xml:space="preserve">User_Object</t>
  </si>
  <si>
    <t xml:space="preserve">Not compared - objects linked to individual users</t>
  </si>
  <si>
    <t xml:space="preserve">User_Parameter</t>
  </si>
  <si>
    <t xml:space="preserve">Not compared - per-user parameter values</t>
  </si>
  <si>
    <t xml:space="preserve">User_Permission</t>
  </si>
  <si>
    <t xml:space="preserve">Not compared - per-user permission overrides</t>
  </si>
  <si>
    <t xml:space="preserve">Users</t>
  </si>
  <si>
    <t xml:space="preserve">Not compared - user accounts (excluded per request)</t>
  </si>
  <si>
    <t xml:space="preserve">When (UTC)</t>
  </si>
  <si>
    <t xml:space="preserve">Version</t>
  </si>
  <si>
    <t xml:space="preserve">User</t>
  </si>
  <si>
    <t xml:space="preserve">6.10.0.12</t>
  </si>
  <si>
    <t xml:space="preserve">Creation</t>
  </si>
  <si>
    <t xml:space="preserve">SYSTEM_USER</t>
  </si>
  <si>
    <t xml:space="preserve">6.11.0</t>
  </si>
  <si>
    <t xml:space="preserve">Upgrade from 6.10.0</t>
  </si>
  <si>
    <t xml:space="preserve">ifs</t>
  </si>
  <si>
    <t xml:space="preserve">6.12.0</t>
  </si>
  <si>
    <t xml:space="preserve">Upgrade from 6.11.0</t>
  </si>
  <si>
    <t xml:space="preserve">6.12.0.14</t>
  </si>
  <si>
    <t xml:space="preserve">Update</t>
  </si>
  <si>
    <t xml:space="preserve">6.13.0</t>
  </si>
  <si>
    <t xml:space="preserve">Upgrade from 6.12.0</t>
  </si>
  <si>
    <t xml:space="preserve">6.13.0.9</t>
  </si>
  <si>
    <t xml:space="preserve">6.13.0.25</t>
  </si>
  <si>
    <t xml:space="preserve">6.13.0.67</t>
  </si>
  <si>
    <t xml:space="preserve">6.14.0</t>
  </si>
  <si>
    <t xml:space="preserve">Upgrade from 6.13.0</t>
  </si>
  <si>
    <t xml:space="preserve">6.14.0.38</t>
  </si>
  <si>
    <t xml:space="preserve">6.14.0.56</t>
  </si>
  <si>
    <t xml:space="preserve">Upgrade from 6.14.0</t>
  </si>
  <si>
    <t xml:space="preserve">6.15.0.25</t>
  </si>
  <si>
    <t xml:space="preserve">Update data</t>
  </si>
  <si>
    <t xml:space="preserve">Clean data</t>
  </si>
  <si>
    <t xml:space="preserve">Upgrade from 6.15.0</t>
  </si>
  <si>
    <t xml:space="preserve">6.13.0.21</t>
  </si>
  <si>
    <t xml:space="preserve">6.13.0.72</t>
  </si>
  <si>
    <t xml:space="preserve">6.16.0.33</t>
  </si>
</sst>
</file>

<file path=xl/styles.xml><?xml version="1.0" encoding="utf-8"?>
<styleSheet xmlns="http://schemas.openxmlformats.org/spreadsheetml/2006/main">
  <numFmts count="6">
    <numFmt numFmtId="164" formatCode="General"/>
    <numFmt numFmtId="165" formatCode="General"/>
    <numFmt numFmtId="166" formatCode="0%"/>
    <numFmt numFmtId="167" formatCode="yyyy\-mm\-dd\ hh:mm"/>
    <numFmt numFmtId="168" formatCode="#,##0"/>
    <numFmt numFmtId="169" formatCode="yyyy\-mm\-dd\ hh:mm:ss"/>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b val="true"/>
      <sz val="11"/>
      <color rgb="FFC00000"/>
      <name val="Arial"/>
      <family val="0"/>
      <charset val="1"/>
    </font>
    <font>
      <b val="true"/>
      <sz val="10"/>
      <color rgb="FFFFFFFF"/>
      <name val="Arial"/>
      <family val="0"/>
      <charset val="1"/>
    </font>
    <font>
      <sz val="9"/>
      <color rgb="FF7F7F7F"/>
      <name val="Arial"/>
      <family val="0"/>
      <charset val="1"/>
    </font>
  </fonts>
  <fills count="4">
    <fill>
      <patternFill patternType="none"/>
    </fill>
    <fill>
      <patternFill patternType="gray125"/>
    </fill>
    <fill>
      <patternFill patternType="solid">
        <fgColor rgb="FFD9E1F2"/>
        <bgColor rgb="FFC6EFCE"/>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name val="Arial"/>
        <charset val="1"/>
        <family val="0"/>
        <b val="1"/>
        <color rgb="FF006100"/>
      </font>
      <fill>
        <patternFill>
          <bgColor rgb="FFC6EFCE"/>
        </patternFill>
      </fill>
    </dxf>
    <dxf>
      <font>
        <name val="Arial"/>
        <charset val="1"/>
        <family val="0"/>
        <b val="1"/>
        <color rgb="FFFFFFFF"/>
      </font>
      <fill>
        <patternFill>
          <bgColor rgb="FFC00000"/>
        </patternFill>
      </fill>
    </dxf>
    <dxf>
      <font>
        <name val="Arial"/>
        <charset val="1"/>
        <family val="0"/>
        <b val="1"/>
        <color rgb="FFFFFFFF"/>
      </font>
      <fill>
        <patternFill>
          <bgColor rgb="FF2E7D32"/>
        </patternFill>
      </fill>
    </dxf>
    <dxf>
      <fill>
        <patternFill>
          <bgColor rgb="FFFFE699"/>
        </patternFill>
      </fill>
    </dxf>
    <dxf>
      <font>
        <name val="Arial"/>
        <charset val="1"/>
        <family val="0"/>
        <b val="1"/>
        <color rgb="FF9C0006"/>
      </font>
      <fill>
        <patternFill>
          <bgColor rgb="FFF4B6B6"/>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7F7F7F"/>
          <bgColor rgb="FF000000"/>
        </patternFill>
      </fill>
    </dxf>
    <dxf>
      <fill>
        <patternFill patternType="solid">
          <fgColor rgb="FFFFE699"/>
          <bgColor rgb="FF000000"/>
        </patternFill>
      </fill>
    </dxf>
    <dxf>
      <fill>
        <patternFill patternType="solid">
          <fgColor rgb="FFF4B084"/>
          <bgColor rgb="FF000000"/>
        </patternFill>
      </fill>
    </dxf>
    <dxf>
      <font>
        <name val="Arial"/>
        <charset val="1"/>
        <family val="0"/>
        <b val="1"/>
      </font>
      <fill>
        <patternFill>
          <bgColor rgb="FFF4B084"/>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4B084"/>
      <rgbColor rgb="FFCC99FF"/>
      <rgbColor rgb="FFF4B6B6"/>
      <rgbColor rgb="FF3366FF"/>
      <rgbColor rgb="FF33CCCC"/>
      <rgbColor rgb="FF99CC00"/>
      <rgbColor rgb="FFFFCC00"/>
      <rgbColor rgb="FFFF9900"/>
      <rgbColor rgb="FFFF6600"/>
      <rgbColor rgb="FF595959"/>
      <rgbColor rgb="FF969696"/>
      <rgbColor rgb="FF1F3864"/>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 collapsed="false" customWidth="true" hidden="false" outlineLevel="0" max="6" min="6" style="0" width="9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c r="F4" s="4"/>
    </row>
    <row r="5" customFormat="false" ht="27.75" hidden="false" customHeight="true" outlineLevel="0" collapsed="false">
      <c r="A5" s="5" t="s">
        <v>3</v>
      </c>
      <c r="B5" s="5"/>
      <c r="C5" s="5"/>
      <c r="D5" s="5"/>
      <c r="E5" s="5"/>
      <c r="F5" s="5"/>
    </row>
    <row r="6" customFormat="false" ht="27.75" hidden="false" customHeight="true" outlineLevel="0" collapsed="false">
      <c r="A6" s="5" t="s">
        <v>4</v>
      </c>
      <c r="B6" s="5"/>
      <c r="C6" s="5"/>
      <c r="D6" s="5"/>
      <c r="E6" s="5"/>
      <c r="F6" s="5"/>
    </row>
    <row r="7" customFormat="false" ht="27.75" hidden="false" customHeight="true" outlineLevel="0" collapsed="false">
      <c r="A7" s="5" t="s">
        <v>5</v>
      </c>
      <c r="B7" s="5"/>
      <c r="C7" s="5"/>
      <c r="D7" s="5"/>
      <c r="E7" s="5"/>
      <c r="F7" s="5"/>
    </row>
    <row r="8" customFormat="false" ht="27.75" hidden="false" customHeight="true" outlineLevel="0" collapsed="false">
      <c r="A8" s="5" t="s">
        <v>6</v>
      </c>
      <c r="B8" s="5"/>
      <c r="C8" s="5"/>
      <c r="D8" s="5"/>
      <c r="E8" s="5"/>
      <c r="F8" s="5"/>
    </row>
    <row r="9" customFormat="false" ht="27.75" hidden="false" customHeight="true" outlineLevel="0" collapsed="false">
      <c r="A9" s="5" t="s">
        <v>7</v>
      </c>
      <c r="B9" s="5"/>
      <c r="C9" s="5"/>
      <c r="D9" s="5"/>
      <c r="E9" s="5"/>
      <c r="F9" s="5"/>
    </row>
    <row r="10" customFormat="false" ht="27.75" hidden="false" customHeight="true" outlineLevel="0" collapsed="false">
      <c r="A10" s="5" t="s">
        <v>8</v>
      </c>
      <c r="B10" s="5"/>
      <c r="C10" s="5"/>
      <c r="D10" s="5"/>
      <c r="E10" s="5"/>
      <c r="F10" s="5"/>
    </row>
    <row r="11" customFormat="false" ht="27.75" hidden="false" customHeight="true" outlineLevel="0" collapsed="false">
      <c r="A11" s="5" t="s">
        <v>9</v>
      </c>
      <c r="B11" s="5"/>
      <c r="C11" s="5"/>
      <c r="D11" s="5"/>
      <c r="E11" s="5"/>
      <c r="F11" s="5"/>
    </row>
    <row r="12" customFormat="false" ht="27.75" hidden="false" customHeight="true" outlineLevel="0" collapsed="false">
      <c r="A12" s="5" t="s">
        <v>10</v>
      </c>
      <c r="B12" s="5"/>
      <c r="C12" s="5"/>
      <c r="D12" s="5"/>
      <c r="E12" s="5"/>
      <c r="F12" s="5"/>
    </row>
    <row r="14" customFormat="false" ht="15" hidden="false" customHeight="false" outlineLevel="0" collapsed="false">
      <c r="A14" s="6" t="s">
        <v>11</v>
      </c>
      <c r="B14" s="7" t="s">
        <v>12</v>
      </c>
      <c r="C14" s="7" t="s">
        <v>13</v>
      </c>
      <c r="D14" s="7" t="s">
        <v>14</v>
      </c>
      <c r="E14" s="7" t="s">
        <v>15</v>
      </c>
      <c r="F14" s="4"/>
    </row>
    <row r="15" customFormat="false" ht="15" hidden="false" customHeight="false" outlineLevel="0" collapsed="false">
      <c r="A15" s="8" t="s">
        <v>16</v>
      </c>
      <c r="B15" s="9" t="n">
        <f aca="false">ROWS(Parameters!$D$2:$D$50)</f>
        <v>49</v>
      </c>
      <c r="C15" s="9" t="n">
        <f aca="false">SUMPRODUCT(--NOT(EXACT(Parameters!$E$2:$E$50,Parameters!$D$2:$D$50)))</f>
        <v>21</v>
      </c>
      <c r="D15" s="9" t="n">
        <f aca="false">SUMPRODUCT(--NOT(EXACT(Parameters!$F$2:$F$50,Parameters!$D$2:$D$50)))</f>
        <v>11</v>
      </c>
      <c r="E15" s="9" t="n">
        <f aca="false">SUMPRODUCT(--NOT(EXACT(Parameters!$G$2:$G$50,Parameters!$D$2:$D$50)))</f>
        <v>28</v>
      </c>
    </row>
    <row r="16" customFormat="false" ht="15" hidden="false" customHeight="false" outlineLevel="0" collapsed="false">
      <c r="A16" s="8" t="s">
        <v>17</v>
      </c>
      <c r="B16" s="9" t="n">
        <f aca="false">ROWS('Exception Types'!$D$2:$D$112)</f>
        <v>111</v>
      </c>
      <c r="C16" s="9" t="n">
        <f aca="false">SUMPRODUCT(--NOT(EXACT('Exception Types'!$E$2:$E$112,'Exception Types'!$D$2:$D$112)))</f>
        <v>6</v>
      </c>
      <c r="D16" s="9" t="n">
        <f aca="false">SUMPRODUCT(--NOT(EXACT('Exception Types'!$F$2:$F$112,'Exception Types'!$D$2:$D$112)))</f>
        <v>10</v>
      </c>
      <c r="E16" s="9" t="n">
        <f aca="false">SUMPRODUCT(--NOT(EXACT('Exception Types'!$G$2:$G$112,'Exception Types'!$D$2:$D$112)))</f>
        <v>46</v>
      </c>
    </row>
    <row r="17" customFormat="false" ht="15" hidden="false" customHeight="false" outlineLevel="0" collapsed="false">
      <c r="A17" s="8" t="s">
        <v>18</v>
      </c>
      <c r="B17" s="9" t="n">
        <f aca="false">ROWS('Group Permissions'!$D$2:$D$479)</f>
        <v>478</v>
      </c>
      <c r="C17" s="9" t="n">
        <f aca="false">SUMPRODUCT(--NOT(EXACT('Group Permissions'!$E$2:$E$479,'Group Permissions'!$D$2:$D$479)))</f>
        <v>137</v>
      </c>
      <c r="D17" s="9" t="n">
        <f aca="false">SUMPRODUCT(--NOT(EXACT('Group Permissions'!$F$2:$F$479,'Group Permissions'!$D$2:$D$479)))</f>
        <v>229</v>
      </c>
      <c r="E17" s="9" t="n">
        <f aca="false">SUMPRODUCT(--NOT(EXACT('Group Permissions'!$G$2:$G$479,'Group Permissions'!$D$2:$D$479)))</f>
        <v>228</v>
      </c>
    </row>
    <row r="18" customFormat="false" ht="15" hidden="false" customHeight="false" outlineLevel="0" collapsed="false">
      <c r="A18" s="8" t="s">
        <v>19</v>
      </c>
      <c r="B18" s="9" t="n">
        <f aca="false">ROWS(Groups!$D$2:$D$77)</f>
        <v>76</v>
      </c>
      <c r="C18" s="9" t="n">
        <f aca="false">SUMPRODUCT(--NOT(EXACT(Groups!$E$2:$E$77,Groups!$D$2:$D$77)))</f>
        <v>29</v>
      </c>
      <c r="D18" s="9" t="n">
        <f aca="false">SUMPRODUCT(--NOT(EXACT(Groups!$F$2:$F$77,Groups!$D$2:$D$77)))</f>
        <v>32</v>
      </c>
      <c r="E18" s="9" t="n">
        <f aca="false">SUMPRODUCT(--NOT(EXACT(Groups!$G$2:$G$77,Groups!$D$2:$D$77)))</f>
        <v>26</v>
      </c>
    </row>
    <row r="19" customFormat="false" ht="15" hidden="false" customHeight="false" outlineLevel="0" collapsed="false">
      <c r="A19" s="8" t="s">
        <v>20</v>
      </c>
      <c r="B19" s="9" t="n">
        <f aca="false">ROWS('Org Permissions'!$D$2:$D$13)</f>
        <v>12</v>
      </c>
      <c r="C19" s="9" t="n">
        <f aca="false">SUMPRODUCT(--NOT(EXACT('Org Permissions'!$E$2:$E$13,'Org Permissions'!$D$2:$D$13)))</f>
        <v>2</v>
      </c>
      <c r="D19" s="9" t="n">
        <f aca="false">SUMPRODUCT(--NOT(EXACT('Org Permissions'!$F$2:$F$13,'Org Permissions'!$D$2:$D$13)))</f>
        <v>3</v>
      </c>
      <c r="E19" s="9" t="n">
        <f aca="false">SUMPRODUCT(--NOT(EXACT('Org Permissions'!$G$2:$G$13,'Org Permissions'!$D$2:$D$13)))</f>
        <v>6</v>
      </c>
    </row>
    <row r="20" customFormat="false" ht="15" hidden="false" customHeight="false" outlineLevel="0" collapsed="false">
      <c r="A20" s="8" t="s">
        <v>21</v>
      </c>
      <c r="B20" s="9" t="n">
        <f aca="false">ROWS(Lists!$D$2:$D$83)</f>
        <v>82</v>
      </c>
      <c r="C20" s="9" t="n">
        <f aca="false">SUMPRODUCT(--NOT(EXACT(Lists!$E$2:$E$83,Lists!$D$2:$D$83)))</f>
        <v>10</v>
      </c>
      <c r="D20" s="9" t="n">
        <f aca="false">SUMPRODUCT(--NOT(EXACT(Lists!$F$2:$F$83,Lists!$D$2:$D$83)))</f>
        <v>7</v>
      </c>
      <c r="E20" s="9" t="n">
        <f aca="false">SUMPRODUCT(--NOT(EXACT(Lists!$G$2:$G$83,Lists!$D$2:$D$83)))</f>
        <v>38</v>
      </c>
    </row>
    <row r="21" customFormat="false" ht="15" hidden="false" customHeight="false" outlineLevel="0" collapsed="false">
      <c r="A21" s="8" t="s">
        <v>22</v>
      </c>
      <c r="B21" s="9" t="n">
        <f aca="false">ROWS(Travel!$D$2:$D$18)</f>
        <v>17</v>
      </c>
      <c r="C21" s="9" t="n">
        <f aca="false">SUMPRODUCT(--NOT(EXACT(Travel!$E$2:$E$18,Travel!$D$2:$D$18)))</f>
        <v>12</v>
      </c>
      <c r="D21" s="9" t="n">
        <f aca="false">SUMPRODUCT(--NOT(EXACT(Travel!$F$2:$F$18,Travel!$D$2:$D$18)))</f>
        <v>7</v>
      </c>
      <c r="E21" s="9" t="n">
        <f aca="false">SUMPRODUCT(--NOT(EXACT(Travel!$G$2:$G$18,Travel!$D$2:$D$18)))</f>
        <v>14</v>
      </c>
    </row>
    <row r="22" customFormat="false" ht="15" hidden="false" customHeight="false" outlineLevel="0" collapsed="false">
      <c r="A22" s="8" t="s">
        <v>23</v>
      </c>
      <c r="B22" s="9" t="n">
        <f aca="false">ROWS('Profiles &amp; Other'!$D$2:$D$13)</f>
        <v>12</v>
      </c>
      <c r="C22" s="9" t="n">
        <f aca="false">SUMPRODUCT(--NOT(EXACT('Profiles &amp; Other'!$E$2:$E$13,'Profiles &amp; Other'!$D$2:$D$13)))</f>
        <v>1</v>
      </c>
      <c r="D22" s="9" t="n">
        <f aca="false">SUMPRODUCT(--NOT(EXACT('Profiles &amp; Other'!$F$2:$F$13,'Profiles &amp; Other'!$D$2:$D$13)))</f>
        <v>2</v>
      </c>
      <c r="E22" s="9" t="n">
        <f aca="false">SUMPRODUCT(--NOT(EXACT('Profiles &amp; Other'!$G$2:$G$13,'Profiles &amp; Other'!$D$2:$D$13)))</f>
        <v>3</v>
      </c>
    </row>
    <row r="23" customFormat="false" ht="15" hidden="false" customHeight="false" outlineLevel="0" collapsed="false">
      <c r="A23" s="10" t="s">
        <v>24</v>
      </c>
      <c r="B23" s="11" t="n">
        <f aca="false">SUM(B15:B22)</f>
        <v>837</v>
      </c>
      <c r="C23" s="11" t="n">
        <f aca="false">SUM(C15:C22)</f>
        <v>218</v>
      </c>
      <c r="D23" s="11" t="n">
        <f aca="false">SUM(D15:D22)</f>
        <v>301</v>
      </c>
      <c r="E23" s="11" t="n">
        <f aca="false">SUM(E15:E22)</f>
        <v>389</v>
      </c>
    </row>
    <row r="24" customFormat="false" ht="15" hidden="false" customHeight="false" outlineLevel="0" collapsed="false">
      <c r="A24" s="12" t="s">
        <v>25</v>
      </c>
      <c r="C24" s="13" t="n">
        <f aca="false">IF($B23=0,0,C23/$B23)</f>
        <v>0.260454002389486</v>
      </c>
      <c r="D24" s="13" t="n">
        <f aca="false">IF($B23=0,0,D23/$B23)</f>
        <v>0.359617682198327</v>
      </c>
      <c r="E24" s="13" t="n">
        <f aca="false">IF($B23=0,0,E23/$B23)</f>
        <v>0.464755077658304</v>
      </c>
    </row>
    <row r="25" customFormat="false" ht="15" hidden="false" customHeight="false" outlineLevel="0" collapsed="false">
      <c r="A25" s="12" t="s">
        <v>26</v>
      </c>
      <c r="B25" s="14" t="n">
        <f aca="false">COUNTIF(Parameters!$H$2:$H$50,"DIFF")+COUNTIF('Exception Types'!$H$2:$H$112,"DIFF")+COUNTIF('Group Permissions'!$H$2:$H$479,"DIFF")+COUNTIF(Groups!$H$2:$H$77,"DIFF")+COUNTIF('Org Permissions'!$H$2:$H$13,"DIFF")+COUNTIF(Lists!$H$2:$H$83,"DIFF")+COUNTIF(Travel!$H$2:$H$18,"DIFF")+COUNTIF('Profiles &amp; Other'!$H$2:$H$13,"DIFF")</f>
        <v>488</v>
      </c>
    </row>
    <row r="26" customFormat="false" ht="15" hidden="false" customHeight="false" outlineLevel="0" collapsed="false">
      <c r="A26" s="12" t="s">
        <v>27</v>
      </c>
      <c r="B26" s="15" t="str">
        <f aca="false">Versions!A3</f>
        <v>All 4 environments are on PSO 6.16.0.41</v>
      </c>
      <c r="C26" s="15"/>
      <c r="D26" s="15"/>
      <c r="E26" s="15"/>
      <c r="F26" s="15"/>
    </row>
    <row r="28" customFormat="false" ht="15" hidden="false" customHeight="false" outlineLevel="0" collapsed="false">
      <c r="A28" s="3" t="s">
        <v>28</v>
      </c>
      <c r="B28" s="4"/>
      <c r="C28" s="4"/>
      <c r="D28" s="4"/>
      <c r="E28" s="4"/>
      <c r="F28" s="4"/>
    </row>
    <row r="29" customFormat="false" ht="75" hidden="false" customHeight="true" outlineLevel="0" collapsed="false">
      <c r="A29" s="16" t="s">
        <v>29</v>
      </c>
      <c r="B29" s="5" t="s">
        <v>30</v>
      </c>
      <c r="C29" s="5"/>
      <c r="D29" s="5"/>
      <c r="E29" s="5"/>
      <c r="F29" s="5"/>
    </row>
    <row r="30" customFormat="false" ht="30" hidden="false" customHeight="true" outlineLevel="0" collapsed="false">
      <c r="A30" s="16" t="s">
        <v>31</v>
      </c>
      <c r="B30" s="5" t="s">
        <v>32</v>
      </c>
      <c r="C30" s="5"/>
      <c r="D30" s="5"/>
      <c r="E30" s="5"/>
      <c r="F30" s="5"/>
    </row>
    <row r="31" customFormat="false" ht="60" hidden="false" customHeight="true" outlineLevel="0" collapsed="false">
      <c r="A31" s="16" t="s">
        <v>33</v>
      </c>
      <c r="B31" s="5" t="s">
        <v>34</v>
      </c>
      <c r="C31" s="5"/>
      <c r="D31" s="5"/>
      <c r="E31" s="5"/>
      <c r="F31" s="5"/>
    </row>
    <row r="32" customFormat="false" ht="45" hidden="false" customHeight="true" outlineLevel="0" collapsed="false">
      <c r="A32" s="16" t="s">
        <v>35</v>
      </c>
      <c r="B32" s="5" t="s">
        <v>36</v>
      </c>
      <c r="C32" s="5"/>
      <c r="D32" s="5"/>
      <c r="E32" s="5"/>
      <c r="F32" s="5"/>
    </row>
    <row r="33" customFormat="false" ht="30" hidden="false" customHeight="true" outlineLevel="0" collapsed="false">
      <c r="A33" s="16" t="s">
        <v>37</v>
      </c>
      <c r="B33" s="5" t="s">
        <v>38</v>
      </c>
      <c r="C33" s="5"/>
      <c r="D33" s="5"/>
      <c r="E33" s="5"/>
      <c r="F33" s="5"/>
    </row>
    <row r="34" customFormat="false" ht="75" hidden="false" customHeight="true" outlineLevel="0" collapsed="false">
      <c r="A34" s="16" t="s">
        <v>39</v>
      </c>
      <c r="B34" s="5" t="s">
        <v>40</v>
      </c>
      <c r="C34" s="5"/>
      <c r="D34" s="5"/>
      <c r="E34" s="5"/>
      <c r="F34" s="5"/>
    </row>
    <row r="35" customFormat="false" ht="30" hidden="false" customHeight="true" outlineLevel="0" collapsed="false">
      <c r="A35" s="16" t="s">
        <v>41</v>
      </c>
      <c r="B35" s="5" t="s">
        <v>42</v>
      </c>
      <c r="C35" s="5"/>
      <c r="D35" s="5"/>
      <c r="E35" s="5"/>
      <c r="F35" s="5"/>
    </row>
    <row r="36" customFormat="false" ht="30" hidden="false" customHeight="true" outlineLevel="0" collapsed="false">
      <c r="A36" s="16" t="s">
        <v>43</v>
      </c>
      <c r="B36" s="5" t="s">
        <v>44</v>
      </c>
      <c r="C36" s="5"/>
      <c r="D36" s="5"/>
      <c r="E36" s="5"/>
      <c r="F36" s="5"/>
    </row>
    <row r="37" customFormat="false" ht="120" hidden="false" customHeight="true" outlineLevel="0" collapsed="false">
      <c r="A37" s="16" t="s">
        <v>45</v>
      </c>
      <c r="B37" s="5" t="s">
        <v>46</v>
      </c>
      <c r="C37" s="5"/>
      <c r="D37" s="5"/>
      <c r="E37" s="5"/>
      <c r="F37" s="5"/>
    </row>
    <row r="38" customFormat="false" ht="30" hidden="false" customHeight="true" outlineLevel="0" collapsed="false">
      <c r="A38" s="16" t="s">
        <v>47</v>
      </c>
      <c r="B38" s="5" t="s">
        <v>48</v>
      </c>
      <c r="C38" s="5"/>
      <c r="D38" s="5"/>
      <c r="E38" s="5"/>
      <c r="F38" s="5"/>
    </row>
    <row r="39" customFormat="false" ht="30" hidden="false" customHeight="true" outlineLevel="0" collapsed="false">
      <c r="A39" s="16" t="s">
        <v>49</v>
      </c>
      <c r="B39" s="5" t="s">
        <v>50</v>
      </c>
      <c r="C39" s="5"/>
      <c r="D39" s="5"/>
      <c r="E39" s="5"/>
      <c r="F39" s="5"/>
    </row>
    <row r="40" customFormat="false" ht="45" hidden="false" customHeight="true" outlineLevel="0" collapsed="false">
      <c r="A40" s="16" t="s">
        <v>51</v>
      </c>
      <c r="B40" s="5" t="s">
        <v>52</v>
      </c>
      <c r="C40" s="5"/>
      <c r="D40" s="5"/>
      <c r="E40" s="5"/>
      <c r="F40" s="5"/>
    </row>
    <row r="41" customFormat="false" ht="45" hidden="false" customHeight="true" outlineLevel="0" collapsed="false">
      <c r="A41" s="16" t="s">
        <v>53</v>
      </c>
      <c r="B41" s="5" t="s">
        <v>54</v>
      </c>
      <c r="C41" s="5"/>
      <c r="D41" s="5"/>
      <c r="E41" s="5"/>
      <c r="F41" s="5"/>
    </row>
    <row r="42" customFormat="false" ht="60" hidden="false" customHeight="true" outlineLevel="0" collapsed="false">
      <c r="A42" s="16" t="s">
        <v>55</v>
      </c>
      <c r="B42" s="5" t="s">
        <v>56</v>
      </c>
      <c r="C42" s="5"/>
      <c r="D42" s="5"/>
      <c r="E42" s="5"/>
      <c r="F42" s="5"/>
    </row>
    <row r="44" customFormat="false" ht="15" hidden="false" customHeight="false" outlineLevel="0" collapsed="false">
      <c r="A44" s="3" t="s">
        <v>57</v>
      </c>
      <c r="B44" s="4"/>
      <c r="C44" s="4"/>
      <c r="D44" s="4"/>
      <c r="E44" s="4"/>
      <c r="F44" s="4"/>
    </row>
    <row r="45" customFormat="false" ht="15" hidden="false" customHeight="false" outlineLevel="0" collapsed="false">
      <c r="A45" s="12" t="s">
        <v>58</v>
      </c>
      <c r="B45" s="17" t="s">
        <v>59</v>
      </c>
      <c r="C45" s="17"/>
      <c r="D45" s="17"/>
      <c r="E45" s="17"/>
      <c r="F45" s="17"/>
    </row>
    <row r="46" customFormat="false" ht="15" hidden="false" customHeight="false" outlineLevel="0" collapsed="false">
      <c r="A46" s="12" t="s">
        <v>60</v>
      </c>
      <c r="B46" s="17" t="s">
        <v>61</v>
      </c>
      <c r="C46" s="17"/>
      <c r="D46" s="17"/>
      <c r="E46" s="17"/>
      <c r="F46" s="17"/>
    </row>
    <row r="47" customFormat="false" ht="15" hidden="false" customHeight="false" outlineLevel="0" collapsed="false">
      <c r="A47" s="12" t="s">
        <v>16</v>
      </c>
      <c r="B47" s="17" t="s">
        <v>62</v>
      </c>
      <c r="C47" s="17"/>
      <c r="D47" s="17"/>
      <c r="E47" s="17"/>
      <c r="F47" s="17"/>
    </row>
    <row r="48" customFormat="false" ht="15" hidden="false" customHeight="false" outlineLevel="0" collapsed="false">
      <c r="A48" s="12" t="s">
        <v>17</v>
      </c>
      <c r="B48" s="17" t="s">
        <v>63</v>
      </c>
      <c r="C48" s="17"/>
      <c r="D48" s="17"/>
      <c r="E48" s="17"/>
      <c r="F48" s="17"/>
    </row>
    <row r="49" customFormat="false" ht="15" hidden="false" customHeight="false" outlineLevel="0" collapsed="false">
      <c r="A49" s="12" t="s">
        <v>18</v>
      </c>
      <c r="B49" s="17" t="s">
        <v>64</v>
      </c>
      <c r="C49" s="17"/>
      <c r="D49" s="17"/>
      <c r="E49" s="17"/>
      <c r="F49" s="17"/>
    </row>
    <row r="50" customFormat="false" ht="15" hidden="false" customHeight="false" outlineLevel="0" collapsed="false">
      <c r="A50" s="12" t="s">
        <v>19</v>
      </c>
      <c r="B50" s="17" t="s">
        <v>65</v>
      </c>
      <c r="C50" s="17"/>
      <c r="D50" s="17"/>
      <c r="E50" s="17"/>
      <c r="F50" s="17"/>
    </row>
    <row r="51" customFormat="false" ht="15" hidden="false" customHeight="false" outlineLevel="0" collapsed="false">
      <c r="A51" s="12" t="s">
        <v>20</v>
      </c>
      <c r="B51" s="17" t="s">
        <v>66</v>
      </c>
      <c r="C51" s="17"/>
      <c r="D51" s="17"/>
      <c r="E51" s="17"/>
      <c r="F51" s="17"/>
    </row>
    <row r="52" customFormat="false" ht="15" hidden="false" customHeight="false" outlineLevel="0" collapsed="false">
      <c r="A52" s="12" t="s">
        <v>21</v>
      </c>
      <c r="B52" s="17" t="s">
        <v>67</v>
      </c>
      <c r="C52" s="17"/>
      <c r="D52" s="17"/>
      <c r="E52" s="17"/>
      <c r="F52" s="17"/>
    </row>
    <row r="53" customFormat="false" ht="15" hidden="false" customHeight="false" outlineLevel="0" collapsed="false">
      <c r="A53" s="12" t="s">
        <v>22</v>
      </c>
      <c r="B53" s="17" t="s">
        <v>68</v>
      </c>
      <c r="C53" s="17"/>
      <c r="D53" s="17"/>
      <c r="E53" s="17"/>
      <c r="F53" s="17"/>
    </row>
    <row r="54" customFormat="false" ht="15" hidden="false" customHeight="false" outlineLevel="0" collapsed="false">
      <c r="A54" s="12" t="s">
        <v>23</v>
      </c>
      <c r="B54" s="17" t="s">
        <v>69</v>
      </c>
      <c r="C54" s="17"/>
      <c r="D54" s="17"/>
      <c r="E54" s="17"/>
      <c r="F54" s="17"/>
    </row>
    <row r="55" customFormat="false" ht="15" hidden="false" customHeight="false" outlineLevel="0" collapsed="false">
      <c r="A55" s="12" t="s">
        <v>70</v>
      </c>
      <c r="B55" s="17" t="s">
        <v>71</v>
      </c>
      <c r="C55" s="17"/>
      <c r="D55" s="17"/>
      <c r="E55" s="17"/>
      <c r="F55" s="17"/>
    </row>
  </sheetData>
  <mergeCells count="34">
    <mergeCell ref="A5:F5"/>
    <mergeCell ref="A6:F6"/>
    <mergeCell ref="A7:F7"/>
    <mergeCell ref="A8:F8"/>
    <mergeCell ref="A9:F9"/>
    <mergeCell ref="A10:F10"/>
    <mergeCell ref="A11:F11"/>
    <mergeCell ref="A12:F12"/>
    <mergeCell ref="B26:F26"/>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5:F45"/>
    <mergeCell ref="B46:F46"/>
    <mergeCell ref="B47:F47"/>
    <mergeCell ref="B48:F48"/>
    <mergeCell ref="B49:F49"/>
    <mergeCell ref="B50:F50"/>
    <mergeCell ref="B51:F51"/>
    <mergeCell ref="B52:F52"/>
    <mergeCell ref="B53:F53"/>
    <mergeCell ref="B54:F54"/>
    <mergeCell ref="B55:F55"/>
  </mergeCells>
  <conditionalFormatting sqref="B26:F26">
    <cfRule type="expression" priority="2" aboveAverage="0" equalAverage="0" bottom="0" percent="0" rank="0" text="" dxfId="0">
      <formula>LEFT($B26,3)="All"</formula>
    </cfRule>
    <cfRule type="expression" priority="3" aboveAverage="0" equalAverage="0" bottom="0" percent="0" rank="0" text="" dxfId="1">
      <formula>LEFT($B26,7)="VERSION"</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4"/>
    <col collapsed="false" customWidth="true" hidden="false" outlineLevel="0" max="2" min="2" style="0" width="16"/>
    <col collapsed="false" customWidth="true" hidden="false" outlineLevel="0" max="3" min="3" style="0" width="10"/>
    <col collapsed="false" customWidth="true" hidden="false" outlineLevel="0" max="4" min="4" style="0" width="11"/>
    <col collapsed="false" customWidth="true" hidden="false" outlineLevel="0" max="5" min="5" style="0" width="19"/>
    <col collapsed="false" customWidth="true" hidden="false" outlineLevel="0" max="7" min="6" style="0" width="14"/>
    <col collapsed="false" customWidth="true" hidden="false" outlineLevel="0" max="8" min="8" style="0" width="17"/>
    <col collapsed="false" customWidth="true" hidden="false" outlineLevel="0" max="9" min="9" style="0" width="19"/>
    <col collapsed="false" customWidth="true" hidden="false" outlineLevel="0" max="10" min="10" style="0" width="11"/>
    <col collapsed="false" customWidth="true" hidden="false" outlineLevel="0" max="11" min="11" style="0" width="19"/>
    <col collapsed="false" customWidth="true" hidden="true" outlineLevel="1" max="17" min="13" style="0" width="13"/>
  </cols>
  <sheetData>
    <row r="1" customFormat="false" ht="17.35" hidden="false" customHeight="false" outlineLevel="0" collapsed="false">
      <c r="A1" s="1" t="s">
        <v>72</v>
      </c>
    </row>
    <row r="2" customFormat="false" ht="15" hidden="false" customHeight="false" outlineLevel="0" collapsed="false">
      <c r="A2" s="2" t="s">
        <v>73</v>
      </c>
    </row>
    <row r="3" customFormat="false" ht="31.5" hidden="false" customHeight="true" outlineLevel="0" collapsed="false">
      <c r="A3" s="18" t="str">
        <f aca="false">IF(COUNTA(B6:B9)&lt;2,"Not enough data to compare",IF(COUNTIF(D6:D9,"BEHIND")=0,"All "&amp;COUNTA(B6:B9)&amp;" environments are on PSO "&amp;INDEX(B6:B9,MATCH(MAX(Q6:Q9),Q6:Q9,0)),"VERSION MISMATCH - the environments are NOT all on the same PSO version"))</f>
        <v>All 4 environments are on PSO 6.16.0.41</v>
      </c>
      <c r="B3" s="18"/>
      <c r="C3" s="18"/>
      <c r="D3" s="18"/>
      <c r="E3" s="18"/>
      <c r="F3" s="18"/>
      <c r="G3" s="18"/>
      <c r="H3" s="18"/>
      <c r="I3" s="18"/>
      <c r="J3" s="18"/>
      <c r="K3" s="18"/>
    </row>
    <row r="4" customFormat="false" ht="15" hidden="false" customHeight="false" outlineLevel="0" collapsed="false">
      <c r="A4" s="19" t="str">
        <f aca="false">IF(COUNTIF(D6:D9,"BEHIND")=0,"",IF(COUNTIF(C6:C9,C6)&lt;COUNTA(C6:C9),"Different RELEASES across environments","Same release ("&amp;C6&amp;"), different patch builds"))</f>
        <v/>
      </c>
      <c r="B4" s="19"/>
      <c r="C4" s="19"/>
      <c r="D4" s="19"/>
      <c r="E4" s="19"/>
      <c r="F4" s="19"/>
      <c r="G4" s="19"/>
      <c r="H4" s="19"/>
      <c r="I4" s="19"/>
      <c r="J4" s="19"/>
      <c r="K4" s="19"/>
    </row>
    <row r="5" customFormat="false" ht="23.85" hidden="false" customHeight="false" outlineLevel="0" collapsed="false">
      <c r="A5" s="20" t="s">
        <v>74</v>
      </c>
      <c r="B5" s="20" t="s">
        <v>75</v>
      </c>
      <c r="C5" s="20" t="s">
        <v>76</v>
      </c>
      <c r="D5" s="20" t="s">
        <v>77</v>
      </c>
      <c r="E5" s="20" t="s">
        <v>78</v>
      </c>
      <c r="F5" s="20" t="s">
        <v>79</v>
      </c>
      <c r="G5" s="20" t="s">
        <v>80</v>
      </c>
      <c r="H5" s="20" t="s">
        <v>81</v>
      </c>
      <c r="I5" s="20" t="s">
        <v>82</v>
      </c>
      <c r="J5" s="20" t="s">
        <v>83</v>
      </c>
      <c r="K5" s="20" t="s">
        <v>84</v>
      </c>
      <c r="M5" s="21" t="s">
        <v>85</v>
      </c>
      <c r="N5" s="21" t="s">
        <v>86</v>
      </c>
      <c r="O5" s="21" t="s">
        <v>87</v>
      </c>
      <c r="P5" s="21" t="s">
        <v>88</v>
      </c>
      <c r="Q5" s="21" t="s">
        <v>89</v>
      </c>
    </row>
    <row r="6" customFormat="false" ht="15" hidden="false" customHeight="false" outlineLevel="0" collapsed="false">
      <c r="A6" s="22" t="s">
        <v>90</v>
      </c>
      <c r="B6" s="22" t="s">
        <v>91</v>
      </c>
      <c r="C6" s="22" t="str">
        <f aca="false">M6&amp;"."&amp;N6</f>
        <v>6.16</v>
      </c>
      <c r="D6" s="23" t="str">
        <f aca="false">IF(B6="","UNKNOWN",IF(Q6=MAX($Q$6:$Q$9),"LATEST","BEHIND"))</f>
        <v>LATEST</v>
      </c>
      <c r="E6" s="24" t="n">
        <v>46145.9082635069</v>
      </c>
      <c r="F6" s="22" t="s">
        <v>92</v>
      </c>
      <c r="G6" s="22" t="s">
        <v>93</v>
      </c>
      <c r="H6" s="22" t="s">
        <v>91</v>
      </c>
      <c r="I6" s="24" t="n">
        <v>46145.9083020833</v>
      </c>
      <c r="J6" s="22" t="n">
        <f aca="true">IF(E6="","",INT(TODAY()-E6))</f>
        <v>149</v>
      </c>
      <c r="K6" s="24" t="n">
        <v>44858.6847309028</v>
      </c>
      <c r="M6" s="21" t="n">
        <f aca="false">IFERROR(VALUE(TRIM(MID(SUBSTITUTE($B6,".",REPT(" ",20)),1,20))),0)</f>
        <v>6</v>
      </c>
      <c r="N6" s="21" t="n">
        <f aca="false">IFERROR(VALUE(TRIM(MID(SUBSTITUTE($B6,".",REPT(" ",20)),21,20))),0)</f>
        <v>16</v>
      </c>
      <c r="O6" s="21" t="n">
        <f aca="false">IFERROR(VALUE(TRIM(MID(SUBSTITUTE($B6,".",REPT(" ",20)),41,20))),0)</f>
        <v>0</v>
      </c>
      <c r="P6" s="21" t="n">
        <f aca="false">IFERROR(VALUE(TRIM(MID(SUBSTITUTE($B6,".",REPT(" ",20)),61,20))),0)</f>
        <v>41</v>
      </c>
      <c r="Q6" s="21" t="n">
        <f aca="false">M6*1000000000+N6*1000000+O6*1000+P6</f>
        <v>6016000041</v>
      </c>
    </row>
    <row r="7" customFormat="false" ht="15" hidden="false" customHeight="false" outlineLevel="0" collapsed="false">
      <c r="A7" s="22" t="s">
        <v>13</v>
      </c>
      <c r="B7" s="22" t="s">
        <v>91</v>
      </c>
      <c r="C7" s="22" t="str">
        <f aca="false">M7&amp;"."&amp;N7</f>
        <v>6.16</v>
      </c>
      <c r="D7" s="23" t="str">
        <f aca="false">IF(B7="","UNKNOWN",IF(Q7=MAX($Q$6:$Q$9),"LATEST","BEHIND"))</f>
        <v>LATEST</v>
      </c>
      <c r="E7" s="24" t="n">
        <v>46056.1268044792</v>
      </c>
      <c r="F7" s="22" t="s">
        <v>92</v>
      </c>
      <c r="G7" s="22" t="s">
        <v>93</v>
      </c>
      <c r="H7" s="22" t="s">
        <v>91</v>
      </c>
      <c r="I7" s="24" t="n">
        <v>46056.1268359144</v>
      </c>
      <c r="J7" s="22" t="n">
        <f aca="true">IF(E7="","",INT(TODAY()-E7))</f>
        <v>238</v>
      </c>
      <c r="K7" s="24" t="n">
        <v>44858.6847309028</v>
      </c>
      <c r="M7" s="21" t="n">
        <f aca="false">IFERROR(VALUE(TRIM(MID(SUBSTITUTE($B7,".",REPT(" ",20)),1,20))),0)</f>
        <v>6</v>
      </c>
      <c r="N7" s="21" t="n">
        <f aca="false">IFERROR(VALUE(TRIM(MID(SUBSTITUTE($B7,".",REPT(" ",20)),21,20))),0)</f>
        <v>16</v>
      </c>
      <c r="O7" s="21" t="n">
        <f aca="false">IFERROR(VALUE(TRIM(MID(SUBSTITUTE($B7,".",REPT(" ",20)),41,20))),0)</f>
        <v>0</v>
      </c>
      <c r="P7" s="21" t="n">
        <f aca="false">IFERROR(VALUE(TRIM(MID(SUBSTITUTE($B7,".",REPT(" ",20)),61,20))),0)</f>
        <v>41</v>
      </c>
      <c r="Q7" s="21" t="n">
        <f aca="false">M7*1000000000+N7*1000000+O7*1000+P7</f>
        <v>6016000041</v>
      </c>
    </row>
    <row r="8" customFormat="false" ht="15" hidden="false" customHeight="false" outlineLevel="0" collapsed="false">
      <c r="A8" s="22" t="s">
        <v>14</v>
      </c>
      <c r="B8" s="22" t="s">
        <v>91</v>
      </c>
      <c r="C8" s="22" t="str">
        <f aca="false">M8&amp;"."&amp;N8</f>
        <v>6.16</v>
      </c>
      <c r="D8" s="23" t="str">
        <f aca="false">IF(B8="","UNKNOWN",IF(Q8=MAX($Q$6:$Q$9),"LATEST","BEHIND"))</f>
        <v>LATEST</v>
      </c>
      <c r="E8" s="24" t="n">
        <v>46060.821691088</v>
      </c>
      <c r="F8" s="22" t="s">
        <v>92</v>
      </c>
      <c r="G8" s="22" t="s">
        <v>93</v>
      </c>
      <c r="H8" s="22" t="s">
        <v>91</v>
      </c>
      <c r="I8" s="24" t="n">
        <v>46060.8217199421</v>
      </c>
      <c r="J8" s="22" t="n">
        <f aca="true">IF(E8="","",INT(TODAY()-E8))</f>
        <v>234</v>
      </c>
      <c r="K8" s="24" t="n">
        <v>44858.6847309028</v>
      </c>
      <c r="M8" s="21" t="n">
        <f aca="false">IFERROR(VALUE(TRIM(MID(SUBSTITUTE($B8,".",REPT(" ",20)),1,20))),0)</f>
        <v>6</v>
      </c>
      <c r="N8" s="21" t="n">
        <f aca="false">IFERROR(VALUE(TRIM(MID(SUBSTITUTE($B8,".",REPT(" ",20)),21,20))),0)</f>
        <v>16</v>
      </c>
      <c r="O8" s="21" t="n">
        <f aca="false">IFERROR(VALUE(TRIM(MID(SUBSTITUTE($B8,".",REPT(" ",20)),41,20))),0)</f>
        <v>0</v>
      </c>
      <c r="P8" s="21" t="n">
        <f aca="false">IFERROR(VALUE(TRIM(MID(SUBSTITUTE($B8,".",REPT(" ",20)),61,20))),0)</f>
        <v>41</v>
      </c>
      <c r="Q8" s="21" t="n">
        <f aca="false">M8*1000000000+N8*1000000+O8*1000+P8</f>
        <v>6016000041</v>
      </c>
    </row>
    <row r="9" customFormat="false" ht="15" hidden="false" customHeight="false" outlineLevel="0" collapsed="false">
      <c r="A9" s="22" t="s">
        <v>15</v>
      </c>
      <c r="B9" s="22" t="s">
        <v>91</v>
      </c>
      <c r="C9" s="22" t="str">
        <f aca="false">M9&amp;"."&amp;N9</f>
        <v>6.16</v>
      </c>
      <c r="D9" s="23" t="str">
        <f aca="false">IF(B9="","UNKNOWN",IF(Q9=MAX($Q$6:$Q$9),"LATEST","BEHIND"))</f>
        <v>LATEST</v>
      </c>
      <c r="E9" s="24" t="n">
        <v>45947.0221303241</v>
      </c>
      <c r="F9" s="22" t="s">
        <v>92</v>
      </c>
      <c r="G9" s="22" t="s">
        <v>93</v>
      </c>
      <c r="H9" s="22" t="s">
        <v>91</v>
      </c>
      <c r="I9" s="24" t="n">
        <v>45965.109061956</v>
      </c>
      <c r="J9" s="22" t="n">
        <f aca="true">IF(E9="","",INT(TODAY()-E9))</f>
        <v>347</v>
      </c>
      <c r="K9" s="24" t="n">
        <v>44858.6847309028</v>
      </c>
      <c r="M9" s="21" t="n">
        <f aca="false">IFERROR(VALUE(TRIM(MID(SUBSTITUTE($B9,".",REPT(" ",20)),1,20))),0)</f>
        <v>6</v>
      </c>
      <c r="N9" s="21" t="n">
        <f aca="false">IFERROR(VALUE(TRIM(MID(SUBSTITUTE($B9,".",REPT(" ",20)),21,20))),0)</f>
        <v>16</v>
      </c>
      <c r="O9" s="21" t="n">
        <f aca="false">IFERROR(VALUE(TRIM(MID(SUBSTITUTE($B9,".",REPT(" ",20)),41,20))),0)</f>
        <v>0</v>
      </c>
      <c r="P9" s="21" t="n">
        <f aca="false">IFERROR(VALUE(TRIM(MID(SUBSTITUTE($B9,".",REPT(" ",20)),61,20))),0)</f>
        <v>41</v>
      </c>
      <c r="Q9" s="21" t="n">
        <f aca="false">M9*1000000000+N9*1000000+O9*1000+P9</f>
        <v>6016000041</v>
      </c>
    </row>
    <row r="11" customFormat="false" ht="15" hidden="false" customHeight="false" outlineLevel="0" collapsed="false">
      <c r="A11" s="25" t="s">
        <v>94</v>
      </c>
      <c r="B11" s="25"/>
      <c r="C11" s="25"/>
      <c r="D11" s="25"/>
      <c r="E11" s="25"/>
      <c r="F11" s="25"/>
      <c r="G11" s="25"/>
      <c r="H11" s="25"/>
      <c r="I11" s="25"/>
      <c r="J11" s="25"/>
      <c r="K11" s="25"/>
    </row>
    <row r="12" customFormat="false" ht="15" hidden="false" customHeight="false" outlineLevel="0" collapsed="false">
      <c r="A12" s="25" t="s">
        <v>95</v>
      </c>
      <c r="B12" s="25"/>
      <c r="C12" s="25"/>
      <c r="D12" s="25"/>
      <c r="E12" s="25"/>
      <c r="F12" s="25"/>
      <c r="G12" s="25"/>
      <c r="H12" s="25"/>
      <c r="I12" s="25"/>
      <c r="J12" s="25"/>
      <c r="K12" s="25"/>
    </row>
    <row r="13" customFormat="false" ht="15" hidden="false" customHeight="false" outlineLevel="0" collapsed="false">
      <c r="A13" s="25" t="s">
        <v>96</v>
      </c>
      <c r="B13" s="25"/>
      <c r="C13" s="25"/>
      <c r="D13" s="25"/>
      <c r="E13" s="25"/>
      <c r="F13" s="25"/>
      <c r="G13" s="25"/>
      <c r="H13" s="25"/>
      <c r="I13" s="25"/>
      <c r="J13" s="25"/>
      <c r="K13" s="25"/>
    </row>
  </sheetData>
  <mergeCells count="5">
    <mergeCell ref="A3:K3"/>
    <mergeCell ref="A4:K4"/>
    <mergeCell ref="A11:K11"/>
    <mergeCell ref="A12:K12"/>
    <mergeCell ref="A13:K13"/>
  </mergeCells>
  <conditionalFormatting sqref="A3:K3">
    <cfRule type="expression" priority="2" aboveAverage="0" equalAverage="0" bottom="0" percent="0" rank="0" text="" dxfId="2">
      <formula>LEFT($A$3,3)="All"</formula>
    </cfRule>
    <cfRule type="expression" priority="3" aboveAverage="0" equalAverage="0" bottom="0" percent="0" rank="0" text="" dxfId="1">
      <formula>LEFT($A$3,7)="VERSION"</formula>
    </cfRule>
    <cfRule type="expression" priority="4" aboveAverage="0" equalAverage="0" bottom="0" percent="0" rank="0" text="" dxfId="3">
      <formula>LEFT($A$3,3)="Not"</formula>
    </cfRule>
  </conditionalFormatting>
  <conditionalFormatting sqref="B6:B9">
    <cfRule type="expression" priority="5" aboveAverage="0" equalAverage="0" bottom="0" percent="0" rank="0" text="" dxfId="4">
      <formula>$D6="BEHIND"</formula>
    </cfRule>
  </conditionalFormatting>
  <conditionalFormatting sqref="D6:D9">
    <cfRule type="expression" priority="6" aboveAverage="0" equalAverage="0" bottom="0" percent="0" rank="0" text="" dxfId="4">
      <formula>D6="BEHIND"</formula>
    </cfRule>
    <cfRule type="expression" priority="7" aboveAverage="0" equalAverage="0" bottom="0" percent="0" rank="0" text="" dxfId="0">
      <formula>D6="LATEST"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10"/>
    <col collapsed="false" customWidth="true" hidden="false" outlineLevel="0" max="7" min="4" style="0" width="34"/>
    <col collapsed="false" customWidth="true" hidden="false" outlineLevel="0" max="8" min="8" style="0" width="10"/>
    <col collapsed="false" customWidth="true" hidden="false" outlineLevel="0" max="9" min="9" style="0" width="90"/>
  </cols>
  <sheetData>
    <row r="1" customFormat="false" ht="30" hidden="false" customHeight="true" outlineLevel="0" collapsed="false">
      <c r="A1" s="20" t="s">
        <v>97</v>
      </c>
      <c r="B1" s="20" t="s">
        <v>98</v>
      </c>
      <c r="C1" s="20" t="s">
        <v>99</v>
      </c>
      <c r="D1" s="20" t="s">
        <v>90</v>
      </c>
      <c r="E1" s="20" t="s">
        <v>13</v>
      </c>
      <c r="F1" s="20" t="s">
        <v>14</v>
      </c>
      <c r="G1" s="20" t="s">
        <v>15</v>
      </c>
      <c r="H1" s="20" t="s">
        <v>77</v>
      </c>
      <c r="I1" s="20" t="s">
        <v>100</v>
      </c>
    </row>
    <row r="2" customFormat="false" ht="15" hidden="false" customHeight="false" outlineLevel="0" collapsed="false">
      <c r="A2" s="26" t="s">
        <v>101</v>
      </c>
      <c r="B2" s="26" t="s">
        <v>102</v>
      </c>
      <c r="C2" s="26" t="s">
        <v>103</v>
      </c>
      <c r="D2" s="26" t="s">
        <v>104</v>
      </c>
      <c r="E2" s="26" t="s">
        <v>104</v>
      </c>
      <c r="F2" s="26" t="s">
        <v>104</v>
      </c>
      <c r="G2" s="26" t="s">
        <v>105</v>
      </c>
      <c r="H2" s="10" t="str">
        <f aca="false">IF(AND(EXACT(D2,E2),EXACT(E2,F2),EXACT(F2,G2)),"Same","DIFF")</f>
        <v>DIFF</v>
      </c>
      <c r="I2" s="26" t="s">
        <v>106</v>
      </c>
    </row>
    <row r="3" customFormat="false" ht="23.85" hidden="false" customHeight="false" outlineLevel="0" collapsed="false">
      <c r="A3" s="26" t="s">
        <v>101</v>
      </c>
      <c r="B3" s="26" t="s">
        <v>107</v>
      </c>
      <c r="C3" s="26" t="s">
        <v>103</v>
      </c>
      <c r="D3" s="26" t="s">
        <v>104</v>
      </c>
      <c r="E3" s="26" t="s">
        <v>108</v>
      </c>
      <c r="F3" s="26" t="s">
        <v>109</v>
      </c>
      <c r="G3" s="26" t="s">
        <v>108</v>
      </c>
      <c r="H3" s="10" t="str">
        <f aca="false">IF(AND(EXACT(D3,E3),EXACT(E3,F3),EXACT(F3,G3)),"Same","DIFF")</f>
        <v>DIFF</v>
      </c>
      <c r="I3" s="26" t="s">
        <v>110</v>
      </c>
    </row>
    <row r="4" customFormat="false" ht="68.65" hidden="false" customHeight="false" outlineLevel="0" collapsed="false">
      <c r="A4" s="26" t="s">
        <v>101</v>
      </c>
      <c r="B4" s="26" t="s">
        <v>111</v>
      </c>
      <c r="C4" s="26" t="s">
        <v>112</v>
      </c>
      <c r="D4" s="26" t="s">
        <v>113</v>
      </c>
      <c r="E4" s="26" t="s">
        <v>113</v>
      </c>
      <c r="F4" s="26" t="s">
        <v>113</v>
      </c>
      <c r="G4" s="26" t="s">
        <v>113</v>
      </c>
      <c r="H4" s="10" t="str">
        <f aca="false">IF(AND(EXACT(D4,E4),EXACT(E4,F4),EXACT(F4,G4)),"Same","DIFF")</f>
        <v>Same</v>
      </c>
      <c r="I4" s="26"/>
    </row>
    <row r="5" customFormat="false" ht="15" hidden="false" customHeight="false" outlineLevel="0" collapsed="false">
      <c r="A5" s="26" t="s">
        <v>101</v>
      </c>
      <c r="B5" s="26" t="s">
        <v>114</v>
      </c>
      <c r="C5" s="26" t="s">
        <v>112</v>
      </c>
      <c r="D5" s="26" t="s">
        <v>115</v>
      </c>
      <c r="E5" s="26" t="s">
        <v>116</v>
      </c>
      <c r="F5" s="26" t="s">
        <v>115</v>
      </c>
      <c r="G5" s="26" t="s">
        <v>115</v>
      </c>
      <c r="H5" s="10" t="str">
        <f aca="false">IF(AND(EXACT(D5,E5),EXACT(E5,F5),EXACT(F5,G5)),"Same","DIFF")</f>
        <v>DIFF</v>
      </c>
      <c r="I5" s="26" t="s">
        <v>117</v>
      </c>
    </row>
    <row r="6" customFormat="false" ht="23.85" hidden="false" customHeight="false" outlineLevel="0" collapsed="false">
      <c r="A6" s="26" t="s">
        <v>101</v>
      </c>
      <c r="B6" s="26" t="s">
        <v>118</v>
      </c>
      <c r="C6" s="26" t="s">
        <v>112</v>
      </c>
      <c r="D6" s="26" t="s">
        <v>104</v>
      </c>
      <c r="E6" s="26" t="s">
        <v>104</v>
      </c>
      <c r="F6" s="26" t="s">
        <v>104</v>
      </c>
      <c r="G6" s="26" t="s">
        <v>119</v>
      </c>
      <c r="H6" s="10" t="str">
        <f aca="false">IF(AND(EXACT(D6,E6),EXACT(E6,F6),EXACT(F6,G6)),"Same","DIFF")</f>
        <v>DIFF</v>
      </c>
      <c r="I6" s="26" t="s">
        <v>120</v>
      </c>
    </row>
    <row r="7" customFormat="false" ht="15" hidden="false" customHeight="false" outlineLevel="0" collapsed="false">
      <c r="A7" s="26" t="s">
        <v>101</v>
      </c>
      <c r="B7" s="26" t="s">
        <v>121</v>
      </c>
      <c r="C7" s="26" t="s">
        <v>122</v>
      </c>
      <c r="D7" s="26" t="s">
        <v>123</v>
      </c>
      <c r="E7" s="26" t="s">
        <v>123</v>
      </c>
      <c r="F7" s="26" t="s">
        <v>123</v>
      </c>
      <c r="G7" s="26" t="s">
        <v>123</v>
      </c>
      <c r="H7" s="10" t="str">
        <f aca="false">IF(AND(EXACT(D7,E7),EXACT(E7,F7),EXACT(F7,G7)),"Same","DIFF")</f>
        <v>Same</v>
      </c>
      <c r="I7" s="26"/>
    </row>
    <row r="8" customFormat="false" ht="15" hidden="false" customHeight="false" outlineLevel="0" collapsed="false">
      <c r="A8" s="26" t="s">
        <v>101</v>
      </c>
      <c r="B8" s="26" t="s">
        <v>124</v>
      </c>
      <c r="C8" s="26" t="s">
        <v>125</v>
      </c>
      <c r="D8" s="26" t="s">
        <v>123</v>
      </c>
      <c r="E8" s="26" t="s">
        <v>123</v>
      </c>
      <c r="F8" s="26" t="s">
        <v>123</v>
      </c>
      <c r="G8" s="26" t="s">
        <v>123</v>
      </c>
      <c r="H8" s="10" t="str">
        <f aca="false">IF(AND(EXACT(D8,E8),EXACT(E8,F8),EXACT(F8,G8)),"Same","DIFF")</f>
        <v>Same</v>
      </c>
      <c r="I8" s="26"/>
    </row>
    <row r="9" customFormat="false" ht="15" hidden="false" customHeight="false" outlineLevel="0" collapsed="false">
      <c r="A9" s="26" t="s">
        <v>101</v>
      </c>
      <c r="B9" s="26" t="s">
        <v>126</v>
      </c>
      <c r="C9" s="26" t="s">
        <v>125</v>
      </c>
      <c r="D9" s="26" t="s">
        <v>123</v>
      </c>
      <c r="E9" s="26" t="s">
        <v>123</v>
      </c>
      <c r="F9" s="26" t="s">
        <v>123</v>
      </c>
      <c r="G9" s="26" t="s">
        <v>123</v>
      </c>
      <c r="H9" s="10" t="str">
        <f aca="false">IF(AND(EXACT(D9,E9),EXACT(E9,F9),EXACT(F9,G9)),"Same","DIFF")</f>
        <v>Same</v>
      </c>
      <c r="I9" s="26"/>
    </row>
    <row r="10" customFormat="false" ht="35.05" hidden="false" customHeight="false" outlineLevel="0" collapsed="false">
      <c r="A10" s="26" t="s">
        <v>101</v>
      </c>
      <c r="B10" s="26" t="s">
        <v>35</v>
      </c>
      <c r="C10" s="26" t="s">
        <v>122</v>
      </c>
      <c r="D10" s="26" t="s">
        <v>123</v>
      </c>
      <c r="E10" s="26" t="s">
        <v>104</v>
      </c>
      <c r="F10" s="26" t="s">
        <v>104</v>
      </c>
      <c r="G10" s="26" t="s">
        <v>104</v>
      </c>
      <c r="H10" s="10" t="str">
        <f aca="false">IF(AND(EXACT(D10,E10),EXACT(E10,F10),EXACT(F10,G10)),"Same","DIFF")</f>
        <v>DIFF</v>
      </c>
      <c r="I10" s="26" t="s">
        <v>127</v>
      </c>
    </row>
    <row r="11" customFormat="false" ht="15" hidden="false" customHeight="false" outlineLevel="0" collapsed="false">
      <c r="A11" s="26" t="s">
        <v>101</v>
      </c>
      <c r="B11" s="26" t="s">
        <v>128</v>
      </c>
      <c r="C11" s="26" t="s">
        <v>129</v>
      </c>
      <c r="D11" s="26" t="s">
        <v>130</v>
      </c>
      <c r="E11" s="26" t="s">
        <v>130</v>
      </c>
      <c r="F11" s="26" t="s">
        <v>130</v>
      </c>
      <c r="G11" s="26" t="s">
        <v>130</v>
      </c>
      <c r="H11" s="10" t="str">
        <f aca="false">IF(AND(EXACT(D11,E11),EXACT(E11,F11),EXACT(F11,G11)),"Same","DIFF")</f>
        <v>Same</v>
      </c>
      <c r="I11" s="26"/>
    </row>
    <row r="12" customFormat="false" ht="23.85" hidden="false" customHeight="false" outlineLevel="0" collapsed="false">
      <c r="A12" s="26" t="s">
        <v>101</v>
      </c>
      <c r="B12" s="26" t="s">
        <v>131</v>
      </c>
      <c r="C12" s="26" t="s">
        <v>112</v>
      </c>
      <c r="D12" s="26" t="s">
        <v>130</v>
      </c>
      <c r="E12" s="26" t="s">
        <v>123</v>
      </c>
      <c r="F12" s="26" t="s">
        <v>130</v>
      </c>
      <c r="G12" s="26" t="s">
        <v>123</v>
      </c>
      <c r="H12" s="10" t="str">
        <f aca="false">IF(AND(EXACT(D12,E12),EXACT(E12,F12),EXACT(F12,G12)),"Same","DIFF")</f>
        <v>DIFF</v>
      </c>
      <c r="I12" s="26" t="s">
        <v>132</v>
      </c>
    </row>
    <row r="13" customFormat="false" ht="35.05" hidden="false" customHeight="false" outlineLevel="0" collapsed="false">
      <c r="A13" s="26" t="s">
        <v>101</v>
      </c>
      <c r="B13" s="26" t="s">
        <v>133</v>
      </c>
      <c r="C13" s="26" t="s">
        <v>122</v>
      </c>
      <c r="D13" s="26" t="s">
        <v>104</v>
      </c>
      <c r="E13" s="26" t="s">
        <v>134</v>
      </c>
      <c r="F13" s="26" t="s">
        <v>134</v>
      </c>
      <c r="G13" s="26" t="s">
        <v>134</v>
      </c>
      <c r="H13" s="10" t="str">
        <f aca="false">IF(AND(EXACT(D13,E13),EXACT(E13,F13),EXACT(F13,G13)),"Same","DIFF")</f>
        <v>DIFF</v>
      </c>
      <c r="I13" s="26" t="s">
        <v>135</v>
      </c>
    </row>
    <row r="14" customFormat="false" ht="23.85" hidden="false" customHeight="false" outlineLevel="0" collapsed="false">
      <c r="A14" s="26" t="s">
        <v>101</v>
      </c>
      <c r="B14" s="26" t="s">
        <v>136</v>
      </c>
      <c r="C14" s="26" t="s">
        <v>122</v>
      </c>
      <c r="D14" s="26" t="s">
        <v>137</v>
      </c>
      <c r="E14" s="26" t="s">
        <v>138</v>
      </c>
      <c r="F14" s="26" t="s">
        <v>138</v>
      </c>
      <c r="G14" s="26" t="s">
        <v>137</v>
      </c>
      <c r="H14" s="10" t="str">
        <f aca="false">IF(AND(EXACT(D14,E14),EXACT(E14,F14),EXACT(F14,G14)),"Same","DIFF")</f>
        <v>DIFF</v>
      </c>
      <c r="I14" s="26" t="s">
        <v>139</v>
      </c>
    </row>
    <row r="15" customFormat="false" ht="15" hidden="false" customHeight="false" outlineLevel="0" collapsed="false">
      <c r="A15" s="26" t="s">
        <v>101</v>
      </c>
      <c r="B15" s="26" t="s">
        <v>140</v>
      </c>
      <c r="C15" s="26" t="s">
        <v>122</v>
      </c>
      <c r="D15" s="26" t="s">
        <v>104</v>
      </c>
      <c r="E15" s="26" t="s">
        <v>141</v>
      </c>
      <c r="F15" s="26" t="s">
        <v>104</v>
      </c>
      <c r="G15" s="26" t="s">
        <v>104</v>
      </c>
      <c r="H15" s="10" t="str">
        <f aca="false">IF(AND(EXACT(D15,E15),EXACT(E15,F15),EXACT(F15,G15)),"Same","DIFF")</f>
        <v>DIFF</v>
      </c>
      <c r="I15" s="26" t="s">
        <v>142</v>
      </c>
    </row>
    <row r="16" customFormat="false" ht="15" hidden="false" customHeight="false" outlineLevel="0" collapsed="false">
      <c r="A16" s="26" t="s">
        <v>101</v>
      </c>
      <c r="B16" s="26" t="s">
        <v>143</v>
      </c>
      <c r="C16" s="26" t="s">
        <v>125</v>
      </c>
      <c r="D16" s="26" t="s">
        <v>144</v>
      </c>
      <c r="E16" s="26" t="s">
        <v>144</v>
      </c>
      <c r="F16" s="26" t="s">
        <v>144</v>
      </c>
      <c r="G16" s="26" t="s">
        <v>137</v>
      </c>
      <c r="H16" s="10" t="str">
        <f aca="false">IF(AND(EXACT(D16,E16),EXACT(E16,F16),EXACT(F16,G16)),"Same","DIFF")</f>
        <v>DIFF</v>
      </c>
      <c r="I16" s="26" t="s">
        <v>145</v>
      </c>
    </row>
    <row r="17" customFormat="false" ht="35.05" hidden="false" customHeight="false" outlineLevel="0" collapsed="false">
      <c r="A17" s="26" t="s">
        <v>101</v>
      </c>
      <c r="B17" s="26" t="s">
        <v>146</v>
      </c>
      <c r="C17" s="26" t="s">
        <v>122</v>
      </c>
      <c r="D17" s="26" t="s">
        <v>123</v>
      </c>
      <c r="E17" s="26" t="s">
        <v>104</v>
      </c>
      <c r="F17" s="26" t="s">
        <v>104</v>
      </c>
      <c r="G17" s="26" t="s">
        <v>130</v>
      </c>
      <c r="H17" s="10" t="str">
        <f aca="false">IF(AND(EXACT(D17,E17),EXACT(E17,F17),EXACT(F17,G17)),"Same","DIFF")</f>
        <v>DIFF</v>
      </c>
      <c r="I17" s="26" t="s">
        <v>147</v>
      </c>
    </row>
    <row r="18" customFormat="false" ht="23.85" hidden="false" customHeight="false" outlineLevel="0" collapsed="false">
      <c r="A18" s="26" t="s">
        <v>101</v>
      </c>
      <c r="B18" s="26" t="s">
        <v>148</v>
      </c>
      <c r="C18" s="26" t="s">
        <v>103</v>
      </c>
      <c r="D18" s="26" t="s">
        <v>104</v>
      </c>
      <c r="E18" s="26" t="s">
        <v>130</v>
      </c>
      <c r="F18" s="26" t="s">
        <v>130</v>
      </c>
      <c r="G18" s="26" t="s">
        <v>130</v>
      </c>
      <c r="H18" s="10" t="str">
        <f aca="false">IF(AND(EXACT(D18,E18),EXACT(E18,F18),EXACT(F18,G18)),"Same","DIFF")</f>
        <v>DIFF</v>
      </c>
      <c r="I18" s="26" t="s">
        <v>149</v>
      </c>
    </row>
    <row r="19" customFormat="false" ht="15" hidden="false" customHeight="false" outlineLevel="0" collapsed="false">
      <c r="A19" s="26" t="s">
        <v>101</v>
      </c>
      <c r="B19" s="26" t="s">
        <v>150</v>
      </c>
      <c r="C19" s="26" t="s">
        <v>151</v>
      </c>
      <c r="D19" s="26" t="s">
        <v>134</v>
      </c>
      <c r="E19" s="26" t="s">
        <v>134</v>
      </c>
      <c r="F19" s="26" t="s">
        <v>134</v>
      </c>
      <c r="G19" s="26" t="s">
        <v>134</v>
      </c>
      <c r="H19" s="10" t="str">
        <f aca="false">IF(AND(EXACT(D19,E19),EXACT(E19,F19),EXACT(F19,G19)),"Same","DIFF")</f>
        <v>Same</v>
      </c>
      <c r="I19" s="26"/>
    </row>
    <row r="20" customFormat="false" ht="15" hidden="false" customHeight="false" outlineLevel="0" collapsed="false">
      <c r="A20" s="26" t="s">
        <v>101</v>
      </c>
      <c r="B20" s="26" t="s">
        <v>150</v>
      </c>
      <c r="C20" s="26" t="s">
        <v>152</v>
      </c>
      <c r="D20" s="26" t="s">
        <v>134</v>
      </c>
      <c r="E20" s="26" t="s">
        <v>134</v>
      </c>
      <c r="F20" s="26" t="s">
        <v>134</v>
      </c>
      <c r="G20" s="26" t="s">
        <v>134</v>
      </c>
      <c r="H20" s="10" t="str">
        <f aca="false">IF(AND(EXACT(D20,E20),EXACT(E20,F20),EXACT(F20,G20)),"Same","DIFF")</f>
        <v>Same</v>
      </c>
      <c r="I20" s="26"/>
    </row>
    <row r="21" customFormat="false" ht="23.85" hidden="false" customHeight="false" outlineLevel="0" collapsed="false">
      <c r="A21" s="26" t="s">
        <v>101</v>
      </c>
      <c r="B21" s="26" t="s">
        <v>153</v>
      </c>
      <c r="C21" s="26" t="s">
        <v>154</v>
      </c>
      <c r="D21" s="26" t="s">
        <v>104</v>
      </c>
      <c r="E21" s="26" t="s">
        <v>155</v>
      </c>
      <c r="F21" s="26" t="s">
        <v>155</v>
      </c>
      <c r="G21" s="26" t="s">
        <v>155</v>
      </c>
      <c r="H21" s="10" t="str">
        <f aca="false">IF(AND(EXACT(D21,E21),EXACT(E21,F21),EXACT(F21,G21)),"Same","DIFF")</f>
        <v>DIFF</v>
      </c>
      <c r="I21" s="26" t="s">
        <v>156</v>
      </c>
    </row>
    <row r="22" customFormat="false" ht="15" hidden="false" customHeight="false" outlineLevel="0" collapsed="false">
      <c r="A22" s="26" t="s">
        <v>101</v>
      </c>
      <c r="B22" s="26" t="s">
        <v>157</v>
      </c>
      <c r="C22" s="26" t="s">
        <v>125</v>
      </c>
      <c r="D22" s="26" t="s">
        <v>155</v>
      </c>
      <c r="E22" s="26" t="s">
        <v>155</v>
      </c>
      <c r="F22" s="26" t="s">
        <v>155</v>
      </c>
      <c r="G22" s="26" t="s">
        <v>104</v>
      </c>
      <c r="H22" s="10" t="str">
        <f aca="false">IF(AND(EXACT(D22,E22),EXACT(E22,F22),EXACT(F22,G22)),"Same","DIFF")</f>
        <v>DIFF</v>
      </c>
      <c r="I22" s="26" t="s">
        <v>158</v>
      </c>
    </row>
    <row r="23" customFormat="false" ht="15" hidden="false" customHeight="false" outlineLevel="0" collapsed="false">
      <c r="A23" s="26" t="s">
        <v>101</v>
      </c>
      <c r="B23" s="26" t="s">
        <v>159</v>
      </c>
      <c r="C23" s="26" t="s">
        <v>112</v>
      </c>
      <c r="D23" s="26" t="s">
        <v>160</v>
      </c>
      <c r="E23" s="26" t="s">
        <v>160</v>
      </c>
      <c r="F23" s="26" t="s">
        <v>160</v>
      </c>
      <c r="G23" s="26" t="s">
        <v>160</v>
      </c>
      <c r="H23" s="10" t="str">
        <f aca="false">IF(AND(EXACT(D23,E23),EXACT(E23,F23),EXACT(F23,G23)),"Same","DIFF")</f>
        <v>Same</v>
      </c>
      <c r="I23" s="26"/>
    </row>
    <row r="24" customFormat="false" ht="15" hidden="false" customHeight="false" outlineLevel="0" collapsed="false">
      <c r="A24" s="26" t="s">
        <v>101</v>
      </c>
      <c r="B24" s="26" t="s">
        <v>161</v>
      </c>
      <c r="C24" s="26" t="s">
        <v>112</v>
      </c>
      <c r="D24" s="26" t="s">
        <v>160</v>
      </c>
      <c r="E24" s="26" t="s">
        <v>160</v>
      </c>
      <c r="F24" s="26" t="s">
        <v>160</v>
      </c>
      <c r="G24" s="26" t="s">
        <v>160</v>
      </c>
      <c r="H24" s="10" t="str">
        <f aca="false">IF(AND(EXACT(D24,E24),EXACT(E24,F24),EXACT(F24,G24)),"Same","DIFF")</f>
        <v>Same</v>
      </c>
      <c r="I24" s="26"/>
    </row>
    <row r="25" customFormat="false" ht="15" hidden="false" customHeight="false" outlineLevel="0" collapsed="false">
      <c r="A25" s="26" t="s">
        <v>101</v>
      </c>
      <c r="B25" s="26" t="s">
        <v>162</v>
      </c>
      <c r="C25" s="26" t="s">
        <v>163</v>
      </c>
      <c r="D25" s="26" t="s">
        <v>123</v>
      </c>
      <c r="E25" s="26" t="s">
        <v>123</v>
      </c>
      <c r="F25" s="26" t="s">
        <v>123</v>
      </c>
      <c r="G25" s="26" t="s">
        <v>123</v>
      </c>
      <c r="H25" s="10" t="str">
        <f aca="false">IF(AND(EXACT(D25,E25),EXACT(E25,F25),EXACT(F25,G25)),"Same","DIFF")</f>
        <v>Same</v>
      </c>
      <c r="I25" s="26"/>
    </row>
    <row r="26" customFormat="false" ht="23.85" hidden="false" customHeight="false" outlineLevel="0" collapsed="false">
      <c r="A26" s="26" t="s">
        <v>101</v>
      </c>
      <c r="B26" s="26" t="s">
        <v>164</v>
      </c>
      <c r="C26" s="26" t="s">
        <v>125</v>
      </c>
      <c r="D26" s="26" t="s">
        <v>165</v>
      </c>
      <c r="E26" s="26" t="s">
        <v>166</v>
      </c>
      <c r="F26" s="26" t="s">
        <v>167</v>
      </c>
      <c r="G26" s="26" t="s">
        <v>168</v>
      </c>
      <c r="H26" s="10" t="str">
        <f aca="false">IF(AND(EXACT(D26,E26),EXACT(E26,F26),EXACT(F26,G26)),"Same","DIFF")</f>
        <v>DIFF</v>
      </c>
      <c r="I26" s="26" t="s">
        <v>169</v>
      </c>
    </row>
    <row r="27" customFormat="false" ht="15" hidden="false" customHeight="false" outlineLevel="0" collapsed="false">
      <c r="A27" s="26" t="s">
        <v>101</v>
      </c>
      <c r="B27" s="26" t="s">
        <v>170</v>
      </c>
      <c r="C27" s="26" t="s">
        <v>125</v>
      </c>
      <c r="D27" s="26" t="s">
        <v>171</v>
      </c>
      <c r="E27" s="26" t="s">
        <v>171</v>
      </c>
      <c r="F27" s="26" t="s">
        <v>171</v>
      </c>
      <c r="G27" s="26" t="s">
        <v>171</v>
      </c>
      <c r="H27" s="10" t="str">
        <f aca="false">IF(AND(EXACT(D27,E27),EXACT(E27,F27),EXACT(F27,G27)),"Same","DIFF")</f>
        <v>Same</v>
      </c>
      <c r="I27" s="26"/>
    </row>
    <row r="28" customFormat="false" ht="15" hidden="false" customHeight="false" outlineLevel="0" collapsed="false">
      <c r="A28" s="26" t="s">
        <v>101</v>
      </c>
      <c r="B28" s="26" t="s">
        <v>172</v>
      </c>
      <c r="C28" s="26" t="s">
        <v>112</v>
      </c>
      <c r="D28" s="26" t="s">
        <v>104</v>
      </c>
      <c r="E28" s="26" t="s">
        <v>104</v>
      </c>
      <c r="F28" s="26" t="s">
        <v>104</v>
      </c>
      <c r="G28" s="26" t="s">
        <v>173</v>
      </c>
      <c r="H28" s="10" t="str">
        <f aca="false">IF(AND(EXACT(D28,E28),EXACT(E28,F28),EXACT(F28,G28)),"Same","DIFF")</f>
        <v>DIFF</v>
      </c>
      <c r="I28" s="26" t="s">
        <v>174</v>
      </c>
    </row>
    <row r="29" customFormat="false" ht="15" hidden="false" customHeight="false" outlineLevel="0" collapsed="false">
      <c r="A29" s="26" t="s">
        <v>101</v>
      </c>
      <c r="B29" s="26" t="s">
        <v>175</v>
      </c>
      <c r="C29" s="26" t="s">
        <v>112</v>
      </c>
      <c r="D29" s="26" t="s">
        <v>104</v>
      </c>
      <c r="E29" s="26" t="s">
        <v>104</v>
      </c>
      <c r="F29" s="26" t="s">
        <v>104</v>
      </c>
      <c r="G29" s="26" t="s">
        <v>173</v>
      </c>
      <c r="H29" s="10" t="str">
        <f aca="false">IF(AND(EXACT(D29,E29),EXACT(E29,F29),EXACT(F29,G29)),"Same","DIFF")</f>
        <v>DIFF</v>
      </c>
      <c r="I29" s="26" t="s">
        <v>176</v>
      </c>
    </row>
    <row r="30" customFormat="false" ht="15" hidden="false" customHeight="false" outlineLevel="0" collapsed="false">
      <c r="A30" s="26" t="s">
        <v>101</v>
      </c>
      <c r="B30" s="26" t="s">
        <v>177</v>
      </c>
      <c r="C30" s="26" t="s">
        <v>125</v>
      </c>
      <c r="D30" s="26" t="s">
        <v>178</v>
      </c>
      <c r="E30" s="26" t="s">
        <v>104</v>
      </c>
      <c r="F30" s="26" t="s">
        <v>178</v>
      </c>
      <c r="G30" s="26" t="s">
        <v>104</v>
      </c>
      <c r="H30" s="10" t="str">
        <f aca="false">IF(AND(EXACT(D30,E30),EXACT(E30,F30),EXACT(F30,G30)),"Same","DIFF")</f>
        <v>DIFF</v>
      </c>
      <c r="I30" s="26" t="s">
        <v>179</v>
      </c>
    </row>
    <row r="31" customFormat="false" ht="35.05" hidden="false" customHeight="false" outlineLevel="0" collapsed="false">
      <c r="A31" s="26" t="s">
        <v>101</v>
      </c>
      <c r="B31" s="26" t="s">
        <v>180</v>
      </c>
      <c r="C31" s="26" t="s">
        <v>181</v>
      </c>
      <c r="D31" s="26" t="s">
        <v>104</v>
      </c>
      <c r="E31" s="26" t="s">
        <v>104</v>
      </c>
      <c r="F31" s="26" t="s">
        <v>104</v>
      </c>
      <c r="G31" s="26" t="s">
        <v>182</v>
      </c>
      <c r="H31" s="10" t="str">
        <f aca="false">IF(AND(EXACT(D31,E31),EXACT(E31,F31),EXACT(F31,G31)),"Same","DIFF")</f>
        <v>DIFF</v>
      </c>
      <c r="I31" s="26" t="s">
        <v>183</v>
      </c>
    </row>
    <row r="32" customFormat="false" ht="23.85" hidden="false" customHeight="false" outlineLevel="0" collapsed="false">
      <c r="A32" s="26" t="s">
        <v>101</v>
      </c>
      <c r="B32" s="26" t="s">
        <v>184</v>
      </c>
      <c r="C32" s="26" t="s">
        <v>112</v>
      </c>
      <c r="D32" s="26" t="s">
        <v>185</v>
      </c>
      <c r="E32" s="26" t="s">
        <v>186</v>
      </c>
      <c r="F32" s="26" t="s">
        <v>185</v>
      </c>
      <c r="G32" s="26" t="s">
        <v>186</v>
      </c>
      <c r="H32" s="10" t="str">
        <f aca="false">IF(AND(EXACT(D32,E32),EXACT(E32,F32),EXACT(F32,G32)),"Same","DIFF")</f>
        <v>DIFF</v>
      </c>
      <c r="I32" s="26" t="s">
        <v>187</v>
      </c>
    </row>
    <row r="33" customFormat="false" ht="15" hidden="false" customHeight="false" outlineLevel="0" collapsed="false">
      <c r="A33" s="26" t="s">
        <v>101</v>
      </c>
      <c r="B33" s="26" t="s">
        <v>188</v>
      </c>
      <c r="C33" s="26" t="s">
        <v>112</v>
      </c>
      <c r="D33" s="26" t="s">
        <v>189</v>
      </c>
      <c r="E33" s="26" t="s">
        <v>190</v>
      </c>
      <c r="F33" s="26" t="s">
        <v>189</v>
      </c>
      <c r="G33" s="26" t="s">
        <v>189</v>
      </c>
      <c r="H33" s="10" t="str">
        <f aca="false">IF(AND(EXACT(D33,E33),EXACT(E33,F33),EXACT(F33,G33)),"Same","DIFF")</f>
        <v>DIFF</v>
      </c>
      <c r="I33" s="26" t="s">
        <v>191</v>
      </c>
    </row>
    <row r="34" customFormat="false" ht="15" hidden="false" customHeight="false" outlineLevel="0" collapsed="false">
      <c r="A34" s="26" t="s">
        <v>101</v>
      </c>
      <c r="B34" s="26" t="s">
        <v>192</v>
      </c>
      <c r="C34" s="26" t="s">
        <v>112</v>
      </c>
      <c r="D34" s="26" t="s">
        <v>193</v>
      </c>
      <c r="E34" s="26" t="s">
        <v>194</v>
      </c>
      <c r="F34" s="26" t="s">
        <v>193</v>
      </c>
      <c r="G34" s="26" t="s">
        <v>193</v>
      </c>
      <c r="H34" s="10" t="str">
        <f aca="false">IF(AND(EXACT(D34,E34),EXACT(E34,F34),EXACT(F34,G34)),"Same","DIFF")</f>
        <v>DIFF</v>
      </c>
      <c r="I34" s="26" t="s">
        <v>195</v>
      </c>
    </row>
    <row r="35" customFormat="false" ht="15" hidden="false" customHeight="false" outlineLevel="0" collapsed="false">
      <c r="A35" s="26" t="s">
        <v>101</v>
      </c>
      <c r="B35" s="26" t="s">
        <v>196</v>
      </c>
      <c r="C35" s="26" t="s">
        <v>125</v>
      </c>
      <c r="D35" s="26" t="s">
        <v>104</v>
      </c>
      <c r="E35" s="26" t="s">
        <v>104</v>
      </c>
      <c r="F35" s="26" t="s">
        <v>197</v>
      </c>
      <c r="G35" s="26" t="s">
        <v>197</v>
      </c>
      <c r="H35" s="10" t="str">
        <f aca="false">IF(AND(EXACT(D35,E35),EXACT(E35,F35),EXACT(F35,G35)),"Same","DIFF")</f>
        <v>DIFF</v>
      </c>
      <c r="I35" s="26" t="s">
        <v>198</v>
      </c>
    </row>
    <row r="36" customFormat="false" ht="23.85" hidden="false" customHeight="false" outlineLevel="0" collapsed="false">
      <c r="A36" s="26" t="s">
        <v>101</v>
      </c>
      <c r="B36" s="26" t="s">
        <v>199</v>
      </c>
      <c r="C36" s="26" t="s">
        <v>112</v>
      </c>
      <c r="D36" s="26" t="s">
        <v>104</v>
      </c>
      <c r="E36" s="26" t="s">
        <v>104</v>
      </c>
      <c r="F36" s="26" t="s">
        <v>200</v>
      </c>
      <c r="G36" s="26" t="s">
        <v>134</v>
      </c>
      <c r="H36" s="10" t="str">
        <f aca="false">IF(AND(EXACT(D36,E36),EXACT(E36,F36),EXACT(F36,G36)),"Same","DIFF")</f>
        <v>DIFF</v>
      </c>
      <c r="I36" s="26" t="s">
        <v>201</v>
      </c>
    </row>
    <row r="37" customFormat="false" ht="23.85" hidden="false" customHeight="false" outlineLevel="0" collapsed="false">
      <c r="A37" s="26" t="s">
        <v>101</v>
      </c>
      <c r="B37" s="26" t="s">
        <v>202</v>
      </c>
      <c r="C37" s="26" t="s">
        <v>122</v>
      </c>
      <c r="D37" s="26" t="s">
        <v>104</v>
      </c>
      <c r="E37" s="26" t="s">
        <v>104</v>
      </c>
      <c r="F37" s="26" t="s">
        <v>104</v>
      </c>
      <c r="G37" s="26" t="s">
        <v>203</v>
      </c>
      <c r="H37" s="10" t="str">
        <f aca="false">IF(AND(EXACT(D37,E37),EXACT(E37,F37),EXACT(F37,G37)),"Same","DIFF")</f>
        <v>DIFF</v>
      </c>
      <c r="I37" s="26" t="s">
        <v>204</v>
      </c>
    </row>
    <row r="38" customFormat="false" ht="35.05" hidden="false" customHeight="false" outlineLevel="0" collapsed="false">
      <c r="A38" s="26" t="s">
        <v>101</v>
      </c>
      <c r="B38" s="26" t="s">
        <v>205</v>
      </c>
      <c r="C38" s="26" t="s">
        <v>125</v>
      </c>
      <c r="D38" s="26" t="s">
        <v>206</v>
      </c>
      <c r="E38" s="26" t="s">
        <v>104</v>
      </c>
      <c r="F38" s="26" t="s">
        <v>206</v>
      </c>
      <c r="G38" s="26" t="s">
        <v>104</v>
      </c>
      <c r="H38" s="10" t="str">
        <f aca="false">IF(AND(EXACT(D38,E38),EXACT(E38,F38),EXACT(F38,G38)),"Same","DIFF")</f>
        <v>DIFF</v>
      </c>
      <c r="I38" s="26" t="s">
        <v>207</v>
      </c>
    </row>
    <row r="39" customFormat="false" ht="23.85" hidden="false" customHeight="false" outlineLevel="0" collapsed="false">
      <c r="A39" s="26" t="s">
        <v>101</v>
      </c>
      <c r="B39" s="26" t="s">
        <v>208</v>
      </c>
      <c r="C39" s="26" t="s">
        <v>112</v>
      </c>
      <c r="D39" s="26" t="s">
        <v>104</v>
      </c>
      <c r="E39" s="26" t="s">
        <v>130</v>
      </c>
      <c r="F39" s="26" t="s">
        <v>104</v>
      </c>
      <c r="G39" s="26" t="s">
        <v>123</v>
      </c>
      <c r="H39" s="10" t="str">
        <f aca="false">IF(AND(EXACT(D39,E39),EXACT(E39,F39),EXACT(F39,G39)),"Same","DIFF")</f>
        <v>DIFF</v>
      </c>
      <c r="I39" s="26" t="s">
        <v>209</v>
      </c>
    </row>
    <row r="40" customFormat="false" ht="35.05" hidden="false" customHeight="false" outlineLevel="0" collapsed="false">
      <c r="A40" s="26" t="s">
        <v>101</v>
      </c>
      <c r="B40" s="26" t="s">
        <v>210</v>
      </c>
      <c r="C40" s="26" t="s">
        <v>125</v>
      </c>
      <c r="D40" s="26" t="s">
        <v>211</v>
      </c>
      <c r="E40" s="26" t="s">
        <v>211</v>
      </c>
      <c r="F40" s="26" t="s">
        <v>211</v>
      </c>
      <c r="G40" s="26" t="s">
        <v>212</v>
      </c>
      <c r="H40" s="10" t="str">
        <f aca="false">IF(AND(EXACT(D40,E40),EXACT(E40,F40),EXACT(F40,G40)),"Same","DIFF")</f>
        <v>DIFF</v>
      </c>
      <c r="I40" s="26" t="s">
        <v>213</v>
      </c>
    </row>
    <row r="41" customFormat="false" ht="23.85" hidden="false" customHeight="false" outlineLevel="0" collapsed="false">
      <c r="A41" s="26" t="s">
        <v>101</v>
      </c>
      <c r="B41" s="26" t="s">
        <v>214</v>
      </c>
      <c r="C41" s="26" t="s">
        <v>125</v>
      </c>
      <c r="D41" s="26" t="s">
        <v>104</v>
      </c>
      <c r="E41" s="26" t="s">
        <v>215</v>
      </c>
      <c r="F41" s="26" t="s">
        <v>104</v>
      </c>
      <c r="G41" s="26" t="s">
        <v>101</v>
      </c>
      <c r="H41" s="10" t="str">
        <f aca="false">IF(AND(EXACT(D41,E41),EXACT(E41,F41),EXACT(F41,G41)),"Same","DIFF")</f>
        <v>DIFF</v>
      </c>
      <c r="I41" s="26" t="s">
        <v>216</v>
      </c>
    </row>
    <row r="42" customFormat="false" ht="15" hidden="false" customHeight="false" outlineLevel="0" collapsed="false">
      <c r="A42" s="26" t="s">
        <v>101</v>
      </c>
      <c r="B42" s="26" t="s">
        <v>217</v>
      </c>
      <c r="C42" s="26" t="s">
        <v>125</v>
      </c>
      <c r="D42" s="26" t="s">
        <v>218</v>
      </c>
      <c r="E42" s="26" t="s">
        <v>218</v>
      </c>
      <c r="F42" s="26" t="s">
        <v>218</v>
      </c>
      <c r="G42" s="26" t="s">
        <v>218</v>
      </c>
      <c r="H42" s="10" t="str">
        <f aca="false">IF(AND(EXACT(D42,E42),EXACT(E42,F42),EXACT(F42,G42)),"Same","DIFF")</f>
        <v>Same</v>
      </c>
      <c r="I42" s="26"/>
    </row>
    <row r="43" customFormat="false" ht="15" hidden="false" customHeight="false" outlineLevel="0" collapsed="false">
      <c r="A43" s="26" t="s">
        <v>101</v>
      </c>
      <c r="B43" s="26" t="s">
        <v>219</v>
      </c>
      <c r="C43" s="26" t="s">
        <v>112</v>
      </c>
      <c r="D43" s="26" t="s">
        <v>134</v>
      </c>
      <c r="E43" s="26" t="s">
        <v>134</v>
      </c>
      <c r="F43" s="26" t="s">
        <v>134</v>
      </c>
      <c r="G43" s="26" t="s">
        <v>134</v>
      </c>
      <c r="H43" s="10" t="str">
        <f aca="false">IF(AND(EXACT(D43,E43),EXACT(E43,F43),EXACT(F43,G43)),"Same","DIFF")</f>
        <v>Same</v>
      </c>
      <c r="I43" s="26"/>
    </row>
    <row r="44" customFormat="false" ht="23.85" hidden="false" customHeight="false" outlineLevel="0" collapsed="false">
      <c r="A44" s="26" t="s">
        <v>138</v>
      </c>
      <c r="B44" s="26" t="s">
        <v>136</v>
      </c>
      <c r="C44" s="26" t="s">
        <v>122</v>
      </c>
      <c r="D44" s="26" t="s">
        <v>104</v>
      </c>
      <c r="E44" s="26" t="s">
        <v>137</v>
      </c>
      <c r="F44" s="26" t="s">
        <v>137</v>
      </c>
      <c r="G44" s="26" t="s">
        <v>137</v>
      </c>
      <c r="H44" s="10" t="str">
        <f aca="false">IF(AND(EXACT(D44,E44),EXACT(E44,F44),EXACT(F44,G44)),"Same","DIFF")</f>
        <v>DIFF</v>
      </c>
      <c r="I44" s="26" t="s">
        <v>139</v>
      </c>
    </row>
    <row r="45" customFormat="false" ht="15" hidden="false" customHeight="false" outlineLevel="0" collapsed="false">
      <c r="A45" s="26" t="s">
        <v>138</v>
      </c>
      <c r="B45" s="26" t="s">
        <v>177</v>
      </c>
      <c r="C45" s="26" t="s">
        <v>125</v>
      </c>
      <c r="D45" s="26" t="s">
        <v>220</v>
      </c>
      <c r="E45" s="26" t="s">
        <v>220</v>
      </c>
      <c r="F45" s="26" t="s">
        <v>220</v>
      </c>
      <c r="G45" s="26" t="s">
        <v>220</v>
      </c>
      <c r="H45" s="10" t="str">
        <f aca="false">IF(AND(EXACT(D45,E45),EXACT(E45,F45),EXACT(F45,G45)),"Same","DIFF")</f>
        <v>Same</v>
      </c>
      <c r="I45" s="26" t="s">
        <v>179</v>
      </c>
    </row>
    <row r="46" customFormat="false" ht="15" hidden="false" customHeight="false" outlineLevel="0" collapsed="false">
      <c r="A46" s="26" t="s">
        <v>138</v>
      </c>
      <c r="B46" s="26" t="s">
        <v>196</v>
      </c>
      <c r="C46" s="26" t="s">
        <v>125</v>
      </c>
      <c r="D46" s="26" t="s">
        <v>197</v>
      </c>
      <c r="E46" s="26" t="s">
        <v>197</v>
      </c>
      <c r="F46" s="26" t="s">
        <v>197</v>
      </c>
      <c r="G46" s="26" t="s">
        <v>197</v>
      </c>
      <c r="H46" s="10" t="str">
        <f aca="false">IF(AND(EXACT(D46,E46),EXACT(E46,F46),EXACT(F46,G46)),"Same","DIFF")</f>
        <v>Same</v>
      </c>
      <c r="I46" s="26" t="s">
        <v>198</v>
      </c>
    </row>
    <row r="47" customFormat="false" ht="35.05" hidden="false" customHeight="false" outlineLevel="0" collapsed="false">
      <c r="A47" s="26" t="s">
        <v>138</v>
      </c>
      <c r="B47" s="26" t="s">
        <v>210</v>
      </c>
      <c r="C47" s="26" t="s">
        <v>125</v>
      </c>
      <c r="D47" s="26" t="s">
        <v>221</v>
      </c>
      <c r="E47" s="26" t="s">
        <v>211</v>
      </c>
      <c r="F47" s="26" t="s">
        <v>221</v>
      </c>
      <c r="G47" s="26" t="s">
        <v>211</v>
      </c>
      <c r="H47" s="10" t="str">
        <f aca="false">IF(AND(EXACT(D47,E47),EXACT(E47,F47),EXACT(F47,G47)),"Same","DIFF")</f>
        <v>DIFF</v>
      </c>
      <c r="I47" s="26" t="s">
        <v>213</v>
      </c>
    </row>
    <row r="48" customFormat="false" ht="23.85" hidden="false" customHeight="false" outlineLevel="0" collapsed="false">
      <c r="A48" s="26" t="s">
        <v>138</v>
      </c>
      <c r="B48" s="26" t="s">
        <v>214</v>
      </c>
      <c r="C48" s="26" t="s">
        <v>125</v>
      </c>
      <c r="D48" s="26" t="s">
        <v>137</v>
      </c>
      <c r="E48" s="26" t="s">
        <v>215</v>
      </c>
      <c r="F48" s="26" t="s">
        <v>137</v>
      </c>
      <c r="G48" s="26" t="s">
        <v>137</v>
      </c>
      <c r="H48" s="10" t="str">
        <f aca="false">IF(AND(EXACT(D48,E48),EXACT(E48,F48),EXACT(F48,G48)),"Same","DIFF")</f>
        <v>DIFF</v>
      </c>
      <c r="I48" s="26" t="s">
        <v>216</v>
      </c>
    </row>
    <row r="49" customFormat="false" ht="35.05" hidden="false" customHeight="false" outlineLevel="0" collapsed="false">
      <c r="A49" s="26" t="s">
        <v>222</v>
      </c>
      <c r="B49" s="26" t="s">
        <v>210</v>
      </c>
      <c r="C49" s="26" t="s">
        <v>125</v>
      </c>
      <c r="D49" s="26" t="s">
        <v>104</v>
      </c>
      <c r="E49" s="26" t="s">
        <v>104</v>
      </c>
      <c r="F49" s="26" t="s">
        <v>104</v>
      </c>
      <c r="G49" s="26" t="s">
        <v>212</v>
      </c>
      <c r="H49" s="10" t="str">
        <f aca="false">IF(AND(EXACT(D49,E49),EXACT(E49,F49),EXACT(F49,G49)),"Same","DIFF")</f>
        <v>DIFF</v>
      </c>
      <c r="I49" s="26" t="s">
        <v>213</v>
      </c>
    </row>
    <row r="50" customFormat="false" ht="23.85" hidden="false" customHeight="false" outlineLevel="0" collapsed="false">
      <c r="A50" s="26" t="s">
        <v>222</v>
      </c>
      <c r="B50" s="26" t="s">
        <v>214</v>
      </c>
      <c r="C50" s="26" t="s">
        <v>125</v>
      </c>
      <c r="D50" s="26" t="s">
        <v>104</v>
      </c>
      <c r="E50" s="26" t="s">
        <v>104</v>
      </c>
      <c r="F50" s="26" t="s">
        <v>104</v>
      </c>
      <c r="G50" s="26" t="s">
        <v>222</v>
      </c>
      <c r="H50" s="10" t="str">
        <f aca="false">IF(AND(EXACT(D50,E50),EXACT(E50,F50),EXACT(F50,G50)),"Same","DIFF")</f>
        <v>DIFF</v>
      </c>
      <c r="I50" s="26" t="s">
        <v>216</v>
      </c>
    </row>
  </sheetData>
  <autoFilter ref="A1:I50"/>
  <conditionalFormatting sqref="E2:G50">
    <cfRule type="expression" priority="2" aboveAverage="0" equalAverage="0" bottom="0" percent="0" rank="0" text="" dxfId="3">
      <formula>NOT(EXACT(E2,$D2))</formula>
    </cfRule>
  </conditionalFormatting>
  <conditionalFormatting sqref="H2:H50">
    <cfRule type="expression" priority="3" aboveAverage="0" equalAverage="0" bottom="0" percent="0" rank="0" text="" dxfId="11">
      <formula>$H2="DIFF"</formula>
    </cfRule>
  </conditionalFormatting>
  <conditionalFormatting sqref="D2:G50">
    <cfRule type="expression" priority="4" aboveAverage="0" equalAverage="0" bottom="0" percent="0" rank="0" text="" dxfId="12">
      <formula>OR(D2="(absent)",D2="(null)")</formula>
    </cfRule>
  </conditionalFormatting>
  <conditionalFormatting sqref="I2:I50">
    <cfRule type="expression" priority="5" aboveAverage="0" equalAverage="0" bottom="0" percent="0" rank="0" text="" dxfId="12">
      <formula>LEFT($I2,10)="[Inferred]"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34"/>
    <col collapsed="false" customWidth="true" hidden="false" outlineLevel="0" max="7" min="4" style="0" width="26"/>
    <col collapsed="false" customWidth="true" hidden="false" outlineLevel="0" max="8" min="8" style="0" width="10"/>
  </cols>
  <sheetData>
    <row r="1" customFormat="false" ht="30" hidden="false" customHeight="true" outlineLevel="0" collapsed="false">
      <c r="A1" s="20" t="s">
        <v>97</v>
      </c>
      <c r="B1" s="20" t="s">
        <v>223</v>
      </c>
      <c r="C1" s="20" t="s">
        <v>224</v>
      </c>
      <c r="D1" s="20" t="s">
        <v>90</v>
      </c>
      <c r="E1" s="20" t="s">
        <v>13</v>
      </c>
      <c r="F1" s="20" t="s">
        <v>14</v>
      </c>
      <c r="G1" s="20" t="s">
        <v>15</v>
      </c>
      <c r="H1" s="20" t="s">
        <v>77</v>
      </c>
    </row>
    <row r="2" customFormat="false" ht="15" hidden="false" customHeight="false" outlineLevel="0" collapsed="false">
      <c r="A2" s="26" t="s">
        <v>101</v>
      </c>
      <c r="B2" s="26" t="s">
        <v>225</v>
      </c>
      <c r="C2" s="26"/>
      <c r="D2" s="26" t="s">
        <v>226</v>
      </c>
      <c r="E2" s="26" t="s">
        <v>226</v>
      </c>
      <c r="F2" s="26" t="s">
        <v>226</v>
      </c>
      <c r="G2" s="26" t="s">
        <v>226</v>
      </c>
      <c r="H2" s="10" t="str">
        <f aca="false">IF(AND(EXACT(D2,E2),EXACT(E2,F2),EXACT(F2,G2)),"Same","DIFF")</f>
        <v>Same</v>
      </c>
    </row>
    <row r="3" customFormat="false" ht="15" hidden="false" customHeight="false" outlineLevel="0" collapsed="false">
      <c r="A3" s="26" t="s">
        <v>101</v>
      </c>
      <c r="B3" s="26" t="s">
        <v>227</v>
      </c>
      <c r="C3" s="26"/>
      <c r="D3" s="26" t="s">
        <v>228</v>
      </c>
      <c r="E3" s="26" t="s">
        <v>104</v>
      </c>
      <c r="F3" s="26" t="s">
        <v>104</v>
      </c>
      <c r="G3" s="26" t="s">
        <v>228</v>
      </c>
      <c r="H3" s="10" t="str">
        <f aca="false">IF(AND(EXACT(D3,E3),EXACT(E3,F3),EXACT(F3,G3)),"Same","DIFF")</f>
        <v>DIFF</v>
      </c>
    </row>
    <row r="4" customFormat="false" ht="15" hidden="false" customHeight="false" outlineLevel="0" collapsed="false">
      <c r="A4" s="26" t="s">
        <v>101</v>
      </c>
      <c r="B4" s="26" t="s">
        <v>229</v>
      </c>
      <c r="C4" s="26"/>
      <c r="D4" s="26" t="s">
        <v>230</v>
      </c>
      <c r="E4" s="26" t="s">
        <v>230</v>
      </c>
      <c r="F4" s="26" t="s">
        <v>230</v>
      </c>
      <c r="G4" s="26" t="s">
        <v>230</v>
      </c>
      <c r="H4" s="10" t="str">
        <f aca="false">IF(AND(EXACT(D4,E4),EXACT(E4,F4),EXACT(F4,G4)),"Same","DIFF")</f>
        <v>Same</v>
      </c>
    </row>
    <row r="5" customFormat="false" ht="15" hidden="false" customHeight="false" outlineLevel="0" collapsed="false">
      <c r="A5" s="26" t="s">
        <v>101</v>
      </c>
      <c r="B5" s="26" t="s">
        <v>206</v>
      </c>
      <c r="C5" s="26"/>
      <c r="D5" s="26" t="s">
        <v>231</v>
      </c>
      <c r="E5" s="26" t="s">
        <v>231</v>
      </c>
      <c r="F5" s="26" t="s">
        <v>231</v>
      </c>
      <c r="G5" s="26" t="s">
        <v>231</v>
      </c>
      <c r="H5" s="10" t="str">
        <f aca="false">IF(AND(EXACT(D5,E5),EXACT(E5,F5),EXACT(F5,G5)),"Same","DIFF")</f>
        <v>Same</v>
      </c>
    </row>
    <row r="6" customFormat="false" ht="15" hidden="false" customHeight="false" outlineLevel="0" collapsed="false">
      <c r="A6" s="26" t="s">
        <v>101</v>
      </c>
      <c r="B6" s="26" t="s">
        <v>232</v>
      </c>
      <c r="C6" s="26"/>
      <c r="D6" s="26" t="s">
        <v>233</v>
      </c>
      <c r="E6" s="26" t="s">
        <v>233</v>
      </c>
      <c r="F6" s="26" t="s">
        <v>233</v>
      </c>
      <c r="G6" s="26" t="s">
        <v>233</v>
      </c>
      <c r="H6" s="10" t="str">
        <f aca="false">IF(AND(EXACT(D6,E6),EXACT(E6,F6),EXACT(F6,G6)),"Same","DIFF")</f>
        <v>Same</v>
      </c>
    </row>
    <row r="7" customFormat="false" ht="15" hidden="false" customHeight="false" outlineLevel="0" collapsed="false">
      <c r="A7" s="26" t="s">
        <v>101</v>
      </c>
      <c r="B7" s="26" t="s">
        <v>234</v>
      </c>
      <c r="C7" s="26"/>
      <c r="D7" s="26" t="s">
        <v>233</v>
      </c>
      <c r="E7" s="26" t="s">
        <v>233</v>
      </c>
      <c r="F7" s="26" t="s">
        <v>233</v>
      </c>
      <c r="G7" s="26" t="s">
        <v>233</v>
      </c>
      <c r="H7" s="10" t="str">
        <f aca="false">IF(AND(EXACT(D7,E7),EXACT(E7,F7),EXACT(F7,G7)),"Same","DIFF")</f>
        <v>Same</v>
      </c>
    </row>
    <row r="8" customFormat="false" ht="15" hidden="false" customHeight="false" outlineLevel="0" collapsed="false">
      <c r="A8" s="26" t="s">
        <v>101</v>
      </c>
      <c r="B8" s="26" t="s">
        <v>235</v>
      </c>
      <c r="C8" s="26"/>
      <c r="D8" s="26" t="s">
        <v>236</v>
      </c>
      <c r="E8" s="26" t="s">
        <v>236</v>
      </c>
      <c r="F8" s="26" t="s">
        <v>236</v>
      </c>
      <c r="G8" s="26" t="s">
        <v>236</v>
      </c>
      <c r="H8" s="10" t="str">
        <f aca="false">IF(AND(EXACT(D8,E8),EXACT(E8,F8),EXACT(F8,G8)),"Same","DIFF")</f>
        <v>Same</v>
      </c>
    </row>
    <row r="9" customFormat="false" ht="15" hidden="false" customHeight="false" outlineLevel="0" collapsed="false">
      <c r="A9" s="26" t="s">
        <v>101</v>
      </c>
      <c r="B9" s="26" t="s">
        <v>237</v>
      </c>
      <c r="C9" s="26"/>
      <c r="D9" s="26" t="s">
        <v>238</v>
      </c>
      <c r="E9" s="26" t="s">
        <v>238</v>
      </c>
      <c r="F9" s="26" t="s">
        <v>238</v>
      </c>
      <c r="G9" s="26" t="s">
        <v>238</v>
      </c>
      <c r="H9" s="10" t="str">
        <f aca="false">IF(AND(EXACT(D9,E9),EXACT(E9,F9),EXACT(F9,G9)),"Same","DIFF")</f>
        <v>Same</v>
      </c>
    </row>
    <row r="10" customFormat="false" ht="15" hidden="false" customHeight="false" outlineLevel="0" collapsed="false">
      <c r="A10" s="26" t="s">
        <v>101</v>
      </c>
      <c r="B10" s="26" t="s">
        <v>239</v>
      </c>
      <c r="C10" s="26"/>
      <c r="D10" s="26" t="s">
        <v>240</v>
      </c>
      <c r="E10" s="26" t="s">
        <v>241</v>
      </c>
      <c r="F10" s="26" t="s">
        <v>240</v>
      </c>
      <c r="G10" s="26" t="s">
        <v>241</v>
      </c>
      <c r="H10" s="10" t="str">
        <f aca="false">IF(AND(EXACT(D10,E10),EXACT(E10,F10),EXACT(F10,G10)),"Same","DIFF")</f>
        <v>DIFF</v>
      </c>
    </row>
    <row r="11" customFormat="false" ht="15" hidden="false" customHeight="false" outlineLevel="0" collapsed="false">
      <c r="A11" s="26" t="s">
        <v>101</v>
      </c>
      <c r="B11" s="26" t="s">
        <v>242</v>
      </c>
      <c r="C11" s="26"/>
      <c r="D11" s="26" t="s">
        <v>243</v>
      </c>
      <c r="E11" s="26" t="s">
        <v>243</v>
      </c>
      <c r="F11" s="26" t="s">
        <v>243</v>
      </c>
      <c r="G11" s="26" t="s">
        <v>244</v>
      </c>
      <c r="H11" s="10" t="str">
        <f aca="false">IF(AND(EXACT(D11,E11),EXACT(E11,F11),EXACT(F11,G11)),"Same","DIFF")</f>
        <v>DIFF</v>
      </c>
    </row>
    <row r="12" customFormat="false" ht="15" hidden="false" customHeight="false" outlineLevel="0" collapsed="false">
      <c r="A12" s="26" t="s">
        <v>101</v>
      </c>
      <c r="B12" s="26" t="s">
        <v>245</v>
      </c>
      <c r="C12" s="26"/>
      <c r="D12" s="26" t="s">
        <v>246</v>
      </c>
      <c r="E12" s="26" t="s">
        <v>104</v>
      </c>
      <c r="F12" s="26" t="s">
        <v>104</v>
      </c>
      <c r="G12" s="26" t="s">
        <v>246</v>
      </c>
      <c r="H12" s="10" t="str">
        <f aca="false">IF(AND(EXACT(D12,E12),EXACT(E12,F12),EXACT(F12,G12)),"Same","DIFF")</f>
        <v>DIFF</v>
      </c>
    </row>
    <row r="13" customFormat="false" ht="15" hidden="false" customHeight="false" outlineLevel="0" collapsed="false">
      <c r="A13" s="26" t="s">
        <v>101</v>
      </c>
      <c r="B13" s="26" t="s">
        <v>247</v>
      </c>
      <c r="C13" s="26"/>
      <c r="D13" s="26" t="s">
        <v>248</v>
      </c>
      <c r="E13" s="26" t="s">
        <v>248</v>
      </c>
      <c r="F13" s="26" t="s">
        <v>248</v>
      </c>
      <c r="G13" s="26" t="s">
        <v>246</v>
      </c>
      <c r="H13" s="10" t="str">
        <f aca="false">IF(AND(EXACT(D13,E13),EXACT(E13,F13),EXACT(F13,G13)),"Same","DIFF")</f>
        <v>DIFF</v>
      </c>
    </row>
    <row r="14" customFormat="false" ht="15" hidden="false" customHeight="false" outlineLevel="0" collapsed="false">
      <c r="A14" s="26" t="s">
        <v>101</v>
      </c>
      <c r="B14" s="26" t="s">
        <v>249</v>
      </c>
      <c r="C14" s="26"/>
      <c r="D14" s="26" t="s">
        <v>248</v>
      </c>
      <c r="E14" s="26" t="s">
        <v>248</v>
      </c>
      <c r="F14" s="26" t="s">
        <v>248</v>
      </c>
      <c r="G14" s="26" t="s">
        <v>248</v>
      </c>
      <c r="H14" s="10" t="str">
        <f aca="false">IF(AND(EXACT(D14,E14),EXACT(E14,F14),EXACT(F14,G14)),"Same","DIFF")</f>
        <v>Same</v>
      </c>
    </row>
    <row r="15" customFormat="false" ht="15" hidden="false" customHeight="false" outlineLevel="0" collapsed="false">
      <c r="A15" s="26" t="s">
        <v>101</v>
      </c>
      <c r="B15" s="26" t="s">
        <v>250</v>
      </c>
      <c r="C15" s="26"/>
      <c r="D15" s="26" t="s">
        <v>238</v>
      </c>
      <c r="E15" s="26" t="s">
        <v>238</v>
      </c>
      <c r="F15" s="26" t="s">
        <v>238</v>
      </c>
      <c r="G15" s="26" t="s">
        <v>238</v>
      </c>
      <c r="H15" s="10" t="str">
        <f aca="false">IF(AND(EXACT(D15,E15),EXACT(E15,F15),EXACT(F15,G15)),"Same","DIFF")</f>
        <v>Same</v>
      </c>
    </row>
    <row r="16" customFormat="false" ht="15" hidden="false" customHeight="false" outlineLevel="0" collapsed="false">
      <c r="A16" s="26" t="s">
        <v>101</v>
      </c>
      <c r="B16" s="26" t="s">
        <v>251</v>
      </c>
      <c r="C16" s="26"/>
      <c r="D16" s="26" t="s">
        <v>236</v>
      </c>
      <c r="E16" s="26" t="s">
        <v>104</v>
      </c>
      <c r="F16" s="26" t="s">
        <v>104</v>
      </c>
      <c r="G16" s="26" t="s">
        <v>236</v>
      </c>
      <c r="H16" s="10" t="str">
        <f aca="false">IF(AND(EXACT(D16,E16),EXACT(E16,F16),EXACT(F16,G16)),"Same","DIFF")</f>
        <v>DIFF</v>
      </c>
    </row>
    <row r="17" customFormat="false" ht="15" hidden="false" customHeight="false" outlineLevel="0" collapsed="false">
      <c r="A17" s="26" t="s">
        <v>101</v>
      </c>
      <c r="B17" s="26" t="s">
        <v>252</v>
      </c>
      <c r="C17" s="26"/>
      <c r="D17" s="26" t="s">
        <v>231</v>
      </c>
      <c r="E17" s="26" t="s">
        <v>231</v>
      </c>
      <c r="F17" s="26" t="s">
        <v>231</v>
      </c>
      <c r="G17" s="26" t="s">
        <v>231</v>
      </c>
      <c r="H17" s="10" t="str">
        <f aca="false">IF(AND(EXACT(D17,E17),EXACT(E17,F17),EXACT(F17,G17)),"Same","DIFF")</f>
        <v>Same</v>
      </c>
    </row>
    <row r="18" customFormat="false" ht="15" hidden="false" customHeight="false" outlineLevel="0" collapsed="false">
      <c r="A18" s="26" t="s">
        <v>101</v>
      </c>
      <c r="B18" s="26" t="s">
        <v>253</v>
      </c>
      <c r="C18" s="26"/>
      <c r="D18" s="26" t="s">
        <v>254</v>
      </c>
      <c r="E18" s="26" t="s">
        <v>254</v>
      </c>
      <c r="F18" s="26" t="s">
        <v>254</v>
      </c>
      <c r="G18" s="26" t="s">
        <v>254</v>
      </c>
      <c r="H18" s="10" t="str">
        <f aca="false">IF(AND(EXACT(D18,E18),EXACT(E18,F18),EXACT(F18,G18)),"Same","DIFF")</f>
        <v>Same</v>
      </c>
    </row>
    <row r="19" customFormat="false" ht="15" hidden="false" customHeight="false" outlineLevel="0" collapsed="false">
      <c r="A19" s="26" t="s">
        <v>101</v>
      </c>
      <c r="B19" s="26" t="s">
        <v>255</v>
      </c>
      <c r="C19" s="26"/>
      <c r="D19" s="26" t="s">
        <v>256</v>
      </c>
      <c r="E19" s="26" t="s">
        <v>104</v>
      </c>
      <c r="F19" s="26" t="s">
        <v>104</v>
      </c>
      <c r="G19" s="26" t="s">
        <v>256</v>
      </c>
      <c r="H19" s="10" t="str">
        <f aca="false">IF(AND(EXACT(D19,E19),EXACT(E19,F19),EXACT(F19,G19)),"Same","DIFF")</f>
        <v>DIFF</v>
      </c>
    </row>
    <row r="20" customFormat="false" ht="15" hidden="false" customHeight="false" outlineLevel="0" collapsed="false">
      <c r="A20" s="26" t="s">
        <v>101</v>
      </c>
      <c r="B20" s="26" t="s">
        <v>257</v>
      </c>
      <c r="C20" s="26"/>
      <c r="D20" s="26" t="s">
        <v>244</v>
      </c>
      <c r="E20" s="26" t="s">
        <v>244</v>
      </c>
      <c r="F20" s="26" t="s">
        <v>244</v>
      </c>
      <c r="G20" s="26" t="s">
        <v>244</v>
      </c>
      <c r="H20" s="10" t="str">
        <f aca="false">IF(AND(EXACT(D20,E20),EXACT(E20,F20),EXACT(F20,G20)),"Same","DIFF")</f>
        <v>Same</v>
      </c>
    </row>
    <row r="21" customFormat="false" ht="15" hidden="false" customHeight="false" outlineLevel="0" collapsed="false">
      <c r="A21" s="26" t="s">
        <v>101</v>
      </c>
      <c r="B21" s="26" t="s">
        <v>258</v>
      </c>
      <c r="C21" s="26"/>
      <c r="D21" s="26" t="s">
        <v>259</v>
      </c>
      <c r="E21" s="26" t="s">
        <v>259</v>
      </c>
      <c r="F21" s="26" t="s">
        <v>259</v>
      </c>
      <c r="G21" s="26" t="s">
        <v>260</v>
      </c>
      <c r="H21" s="10" t="str">
        <f aca="false">IF(AND(EXACT(D21,E21),EXACT(E21,F21),EXACT(F21,G21)),"Same","DIFF")</f>
        <v>DIFF</v>
      </c>
    </row>
    <row r="22" customFormat="false" ht="15" hidden="false" customHeight="false" outlineLevel="0" collapsed="false">
      <c r="A22" s="26" t="s">
        <v>101</v>
      </c>
      <c r="B22" s="26" t="s">
        <v>261</v>
      </c>
      <c r="C22" s="26"/>
      <c r="D22" s="26" t="s">
        <v>262</v>
      </c>
      <c r="E22" s="26" t="s">
        <v>262</v>
      </c>
      <c r="F22" s="26" t="s">
        <v>262</v>
      </c>
      <c r="G22" s="26" t="s">
        <v>262</v>
      </c>
      <c r="H22" s="10" t="str">
        <f aca="false">IF(AND(EXACT(D22,E22),EXACT(E22,F22),EXACT(F22,G22)),"Same","DIFF")</f>
        <v>Same</v>
      </c>
    </row>
    <row r="23" customFormat="false" ht="15" hidden="false" customHeight="false" outlineLevel="0" collapsed="false">
      <c r="A23" s="26" t="s">
        <v>101</v>
      </c>
      <c r="B23" s="26" t="s">
        <v>263</v>
      </c>
      <c r="C23" s="26"/>
      <c r="D23" s="26" t="s">
        <v>264</v>
      </c>
      <c r="E23" s="26" t="s">
        <v>264</v>
      </c>
      <c r="F23" s="26" t="s">
        <v>264</v>
      </c>
      <c r="G23" s="26" t="s">
        <v>264</v>
      </c>
      <c r="H23" s="10" t="str">
        <f aca="false">IF(AND(EXACT(D23,E23),EXACT(E23,F23),EXACT(F23,G23)),"Same","DIFF")</f>
        <v>Same</v>
      </c>
    </row>
    <row r="24" customFormat="false" ht="15" hidden="false" customHeight="false" outlineLevel="0" collapsed="false">
      <c r="A24" s="26" t="s">
        <v>101</v>
      </c>
      <c r="B24" s="26" t="s">
        <v>265</v>
      </c>
      <c r="C24" s="26"/>
      <c r="D24" s="26" t="s">
        <v>266</v>
      </c>
      <c r="E24" s="26" t="s">
        <v>266</v>
      </c>
      <c r="F24" s="26" t="s">
        <v>266</v>
      </c>
      <c r="G24" s="26" t="s">
        <v>267</v>
      </c>
      <c r="H24" s="10" t="str">
        <f aca="false">IF(AND(EXACT(D24,E24),EXACT(E24,F24),EXACT(F24,G24)),"Same","DIFF")</f>
        <v>DIFF</v>
      </c>
    </row>
    <row r="25" customFormat="false" ht="15" hidden="false" customHeight="false" outlineLevel="0" collapsed="false">
      <c r="A25" s="26" t="s">
        <v>101</v>
      </c>
      <c r="B25" s="26" t="s">
        <v>268</v>
      </c>
      <c r="C25" s="26"/>
      <c r="D25" s="26" t="s">
        <v>238</v>
      </c>
      <c r="E25" s="26" t="s">
        <v>238</v>
      </c>
      <c r="F25" s="26" t="s">
        <v>238</v>
      </c>
      <c r="G25" s="26" t="s">
        <v>238</v>
      </c>
      <c r="H25" s="10" t="str">
        <f aca="false">IF(AND(EXACT(D25,E25),EXACT(E25,F25),EXACT(F25,G25)),"Same","DIFF")</f>
        <v>Same</v>
      </c>
    </row>
    <row r="26" customFormat="false" ht="15" hidden="false" customHeight="false" outlineLevel="0" collapsed="false">
      <c r="A26" s="26" t="s">
        <v>101</v>
      </c>
      <c r="B26" s="26" t="s">
        <v>269</v>
      </c>
      <c r="C26" s="26"/>
      <c r="D26" s="26" t="s">
        <v>270</v>
      </c>
      <c r="E26" s="26" t="s">
        <v>270</v>
      </c>
      <c r="F26" s="26" t="s">
        <v>270</v>
      </c>
      <c r="G26" s="26" t="s">
        <v>270</v>
      </c>
      <c r="H26" s="10" t="str">
        <f aca="false">IF(AND(EXACT(D26,E26),EXACT(E26,F26),EXACT(F26,G26)),"Same","DIFF")</f>
        <v>Same</v>
      </c>
    </row>
    <row r="27" customFormat="false" ht="15" hidden="false" customHeight="false" outlineLevel="0" collapsed="false">
      <c r="A27" s="26" t="s">
        <v>101</v>
      </c>
      <c r="B27" s="26" t="s">
        <v>271</v>
      </c>
      <c r="C27" s="26"/>
      <c r="D27" s="26" t="s">
        <v>272</v>
      </c>
      <c r="E27" s="26" t="s">
        <v>272</v>
      </c>
      <c r="F27" s="26" t="s">
        <v>272</v>
      </c>
      <c r="G27" s="26" t="s">
        <v>272</v>
      </c>
      <c r="H27" s="10" t="str">
        <f aca="false">IF(AND(EXACT(D27,E27),EXACT(E27,F27),EXACT(F27,G27)),"Same","DIFF")</f>
        <v>Same</v>
      </c>
    </row>
    <row r="28" customFormat="false" ht="15" hidden="false" customHeight="false" outlineLevel="0" collapsed="false">
      <c r="A28" s="26" t="s">
        <v>101</v>
      </c>
      <c r="B28" s="26" t="s">
        <v>273</v>
      </c>
      <c r="C28" s="26"/>
      <c r="D28" s="26" t="s">
        <v>238</v>
      </c>
      <c r="E28" s="26" t="s">
        <v>238</v>
      </c>
      <c r="F28" s="26" t="s">
        <v>238</v>
      </c>
      <c r="G28" s="26" t="s">
        <v>238</v>
      </c>
      <c r="H28" s="10" t="str">
        <f aca="false">IF(AND(EXACT(D28,E28),EXACT(E28,F28),EXACT(F28,G28)),"Same","DIFF")</f>
        <v>Same</v>
      </c>
    </row>
    <row r="29" customFormat="false" ht="15" hidden="false" customHeight="false" outlineLevel="0" collapsed="false">
      <c r="A29" s="26" t="s">
        <v>101</v>
      </c>
      <c r="B29" s="26" t="s">
        <v>274</v>
      </c>
      <c r="C29" s="26"/>
      <c r="D29" s="26" t="s">
        <v>275</v>
      </c>
      <c r="E29" s="26" t="s">
        <v>275</v>
      </c>
      <c r="F29" s="26" t="s">
        <v>275</v>
      </c>
      <c r="G29" s="26" t="s">
        <v>275</v>
      </c>
      <c r="H29" s="10" t="str">
        <f aca="false">IF(AND(EXACT(D29,E29),EXACT(E29,F29),EXACT(F29,G29)),"Same","DIFF")</f>
        <v>Same</v>
      </c>
    </row>
    <row r="30" customFormat="false" ht="15" hidden="false" customHeight="false" outlineLevel="0" collapsed="false">
      <c r="A30" s="26" t="s">
        <v>101</v>
      </c>
      <c r="B30" s="26" t="s">
        <v>276</v>
      </c>
      <c r="C30" s="26"/>
      <c r="D30" s="26" t="s">
        <v>231</v>
      </c>
      <c r="E30" s="26" t="s">
        <v>231</v>
      </c>
      <c r="F30" s="26" t="s">
        <v>231</v>
      </c>
      <c r="G30" s="26" t="s">
        <v>231</v>
      </c>
      <c r="H30" s="10" t="str">
        <f aca="false">IF(AND(EXACT(D30,E30),EXACT(E30,F30),EXACT(F30,G30)),"Same","DIFF")</f>
        <v>Same</v>
      </c>
    </row>
    <row r="31" customFormat="false" ht="15" hidden="false" customHeight="false" outlineLevel="0" collapsed="false">
      <c r="A31" s="26" t="s">
        <v>101</v>
      </c>
      <c r="B31" s="26" t="s">
        <v>277</v>
      </c>
      <c r="C31" s="26"/>
      <c r="D31" s="26" t="s">
        <v>231</v>
      </c>
      <c r="E31" s="26" t="s">
        <v>231</v>
      </c>
      <c r="F31" s="26" t="s">
        <v>231</v>
      </c>
      <c r="G31" s="26" t="s">
        <v>231</v>
      </c>
      <c r="H31" s="10" t="str">
        <f aca="false">IF(AND(EXACT(D31,E31),EXACT(E31,F31),EXACT(F31,G31)),"Same","DIFF")</f>
        <v>Same</v>
      </c>
    </row>
    <row r="32" customFormat="false" ht="15" hidden="false" customHeight="false" outlineLevel="0" collapsed="false">
      <c r="A32" s="26" t="s">
        <v>101</v>
      </c>
      <c r="B32" s="26" t="s">
        <v>278</v>
      </c>
      <c r="C32" s="26"/>
      <c r="D32" s="26" t="s">
        <v>231</v>
      </c>
      <c r="E32" s="26" t="s">
        <v>231</v>
      </c>
      <c r="F32" s="26" t="s">
        <v>231</v>
      </c>
      <c r="G32" s="26" t="s">
        <v>231</v>
      </c>
      <c r="H32" s="10" t="str">
        <f aca="false">IF(AND(EXACT(D32,E32),EXACT(E32,F32),EXACT(F32,G32)),"Same","DIFF")</f>
        <v>Same</v>
      </c>
    </row>
    <row r="33" customFormat="false" ht="15" hidden="false" customHeight="false" outlineLevel="0" collapsed="false">
      <c r="A33" s="26" t="s">
        <v>101</v>
      </c>
      <c r="B33" s="26" t="s">
        <v>279</v>
      </c>
      <c r="C33" s="26"/>
      <c r="D33" s="26" t="s">
        <v>231</v>
      </c>
      <c r="E33" s="26" t="s">
        <v>231</v>
      </c>
      <c r="F33" s="26" t="s">
        <v>231</v>
      </c>
      <c r="G33" s="26" t="s">
        <v>231</v>
      </c>
      <c r="H33" s="10" t="str">
        <f aca="false">IF(AND(EXACT(D33,E33),EXACT(E33,F33),EXACT(F33,G33)),"Same","DIFF")</f>
        <v>Same</v>
      </c>
    </row>
    <row r="34" customFormat="false" ht="15" hidden="false" customHeight="false" outlineLevel="0" collapsed="false">
      <c r="A34" s="26" t="s">
        <v>101</v>
      </c>
      <c r="B34" s="26" t="s">
        <v>280</v>
      </c>
      <c r="C34" s="26"/>
      <c r="D34" s="26" t="s">
        <v>231</v>
      </c>
      <c r="E34" s="26" t="s">
        <v>231</v>
      </c>
      <c r="F34" s="26" t="s">
        <v>231</v>
      </c>
      <c r="G34" s="26" t="s">
        <v>231</v>
      </c>
      <c r="H34" s="10" t="str">
        <f aca="false">IF(AND(EXACT(D34,E34),EXACT(E34,F34),EXACT(F34,G34)),"Same","DIFF")</f>
        <v>Same</v>
      </c>
    </row>
    <row r="35" customFormat="false" ht="15" hidden="false" customHeight="false" outlineLevel="0" collapsed="false">
      <c r="A35" s="26" t="s">
        <v>101</v>
      </c>
      <c r="B35" s="26" t="s">
        <v>281</v>
      </c>
      <c r="C35" s="26"/>
      <c r="D35" s="26" t="s">
        <v>240</v>
      </c>
      <c r="E35" s="26" t="s">
        <v>240</v>
      </c>
      <c r="F35" s="26" t="s">
        <v>240</v>
      </c>
      <c r="G35" s="26" t="s">
        <v>240</v>
      </c>
      <c r="H35" s="10" t="str">
        <f aca="false">IF(AND(EXACT(D35,E35),EXACT(E35,F35),EXACT(F35,G35)),"Same","DIFF")</f>
        <v>Same</v>
      </c>
    </row>
    <row r="36" customFormat="false" ht="15" hidden="false" customHeight="false" outlineLevel="0" collapsed="false">
      <c r="A36" s="26" t="s">
        <v>101</v>
      </c>
      <c r="B36" s="26" t="s">
        <v>282</v>
      </c>
      <c r="C36" s="26"/>
      <c r="D36" s="26" t="s">
        <v>283</v>
      </c>
      <c r="E36" s="26" t="s">
        <v>283</v>
      </c>
      <c r="F36" s="26" t="s">
        <v>283</v>
      </c>
      <c r="G36" s="26" t="s">
        <v>283</v>
      </c>
      <c r="H36" s="10" t="str">
        <f aca="false">IF(AND(EXACT(D36,E36),EXACT(E36,F36),EXACT(F36,G36)),"Same","DIFF")</f>
        <v>Same</v>
      </c>
    </row>
    <row r="37" customFormat="false" ht="15" hidden="false" customHeight="false" outlineLevel="0" collapsed="false">
      <c r="A37" s="26" t="s">
        <v>101</v>
      </c>
      <c r="B37" s="26" t="s">
        <v>284</v>
      </c>
      <c r="C37" s="26"/>
      <c r="D37" s="26" t="s">
        <v>238</v>
      </c>
      <c r="E37" s="26" t="s">
        <v>238</v>
      </c>
      <c r="F37" s="26" t="s">
        <v>238</v>
      </c>
      <c r="G37" s="26" t="s">
        <v>238</v>
      </c>
      <c r="H37" s="10" t="str">
        <f aca="false">IF(AND(EXACT(D37,E37),EXACT(E37,F37),EXACT(F37,G37)),"Same","DIFF")</f>
        <v>Same</v>
      </c>
    </row>
    <row r="38" customFormat="false" ht="15" hidden="false" customHeight="false" outlineLevel="0" collapsed="false">
      <c r="A38" s="26" t="s">
        <v>101</v>
      </c>
      <c r="B38" s="26" t="s">
        <v>285</v>
      </c>
      <c r="C38" s="26"/>
      <c r="D38" s="26" t="s">
        <v>104</v>
      </c>
      <c r="E38" s="26" t="s">
        <v>104</v>
      </c>
      <c r="F38" s="26" t="s">
        <v>104</v>
      </c>
      <c r="G38" s="26" t="s">
        <v>286</v>
      </c>
      <c r="H38" s="10" t="str">
        <f aca="false">IF(AND(EXACT(D38,E38),EXACT(E38,F38),EXACT(F38,G38)),"Same","DIFF")</f>
        <v>DIFF</v>
      </c>
    </row>
    <row r="39" customFormat="false" ht="15" hidden="false" customHeight="false" outlineLevel="0" collapsed="false">
      <c r="A39" s="26" t="s">
        <v>101</v>
      </c>
      <c r="B39" s="26" t="s">
        <v>287</v>
      </c>
      <c r="C39" s="26" t="s">
        <v>288</v>
      </c>
      <c r="D39" s="26" t="s">
        <v>104</v>
      </c>
      <c r="E39" s="26" t="s">
        <v>104</v>
      </c>
      <c r="F39" s="26" t="s">
        <v>104</v>
      </c>
      <c r="G39" s="26" t="s">
        <v>289</v>
      </c>
      <c r="H39" s="10" t="str">
        <f aca="false">IF(AND(EXACT(D39,E39),EXACT(E39,F39),EXACT(F39,G39)),"Same","DIFF")</f>
        <v>DIFF</v>
      </c>
    </row>
    <row r="40" customFormat="false" ht="15" hidden="false" customHeight="false" outlineLevel="0" collapsed="false">
      <c r="A40" s="26" t="s">
        <v>101</v>
      </c>
      <c r="B40" s="26" t="s">
        <v>290</v>
      </c>
      <c r="C40" s="26" t="s">
        <v>291</v>
      </c>
      <c r="D40" s="26" t="s">
        <v>286</v>
      </c>
      <c r="E40" s="26" t="s">
        <v>286</v>
      </c>
      <c r="F40" s="26" t="s">
        <v>286</v>
      </c>
      <c r="G40" s="26" t="s">
        <v>292</v>
      </c>
      <c r="H40" s="10" t="str">
        <f aca="false">IF(AND(EXACT(D40,E40),EXACT(E40,F40),EXACT(F40,G40)),"Same","DIFF")</f>
        <v>DIFF</v>
      </c>
    </row>
    <row r="41" customFormat="false" ht="15" hidden="false" customHeight="false" outlineLevel="0" collapsed="false">
      <c r="A41" s="26" t="s">
        <v>101</v>
      </c>
      <c r="B41" s="26" t="s">
        <v>293</v>
      </c>
      <c r="C41" s="26" t="s">
        <v>294</v>
      </c>
      <c r="D41" s="26" t="s">
        <v>104</v>
      </c>
      <c r="E41" s="26" t="s">
        <v>295</v>
      </c>
      <c r="F41" s="26" t="s">
        <v>104</v>
      </c>
      <c r="G41" s="26" t="s">
        <v>231</v>
      </c>
      <c r="H41" s="10" t="str">
        <f aca="false">IF(AND(EXACT(D41,E41),EXACT(E41,F41),EXACT(F41,G41)),"Same","DIFF")</f>
        <v>DIFF</v>
      </c>
    </row>
    <row r="42" customFormat="false" ht="15" hidden="false" customHeight="false" outlineLevel="0" collapsed="false">
      <c r="A42" s="26" t="s">
        <v>101</v>
      </c>
      <c r="B42" s="26" t="s">
        <v>296</v>
      </c>
      <c r="C42" s="26" t="s">
        <v>297</v>
      </c>
      <c r="D42" s="26" t="s">
        <v>104</v>
      </c>
      <c r="E42" s="26" t="s">
        <v>104</v>
      </c>
      <c r="F42" s="26" t="s">
        <v>295</v>
      </c>
      <c r="G42" s="26" t="s">
        <v>104</v>
      </c>
      <c r="H42" s="10" t="str">
        <f aca="false">IF(AND(EXACT(D42,E42),EXACT(E42,F42),EXACT(F42,G42)),"Same","DIFF")</f>
        <v>DIFF</v>
      </c>
    </row>
    <row r="43" customFormat="false" ht="15" hidden="false" customHeight="false" outlineLevel="0" collapsed="false">
      <c r="A43" s="26" t="s">
        <v>101</v>
      </c>
      <c r="B43" s="26" t="s">
        <v>298</v>
      </c>
      <c r="C43" s="26" t="s">
        <v>299</v>
      </c>
      <c r="D43" s="26" t="s">
        <v>104</v>
      </c>
      <c r="E43" s="26" t="s">
        <v>104</v>
      </c>
      <c r="F43" s="26" t="s">
        <v>300</v>
      </c>
      <c r="G43" s="26" t="s">
        <v>104</v>
      </c>
      <c r="H43" s="10" t="str">
        <f aca="false">IF(AND(EXACT(D43,E43),EXACT(E43,F43),EXACT(F43,G43)),"Same","DIFF")</f>
        <v>DIFF</v>
      </c>
    </row>
    <row r="44" customFormat="false" ht="15" hidden="false" customHeight="false" outlineLevel="0" collapsed="false">
      <c r="A44" s="26" t="s">
        <v>101</v>
      </c>
      <c r="B44" s="26" t="s">
        <v>301</v>
      </c>
      <c r="C44" s="26" t="s">
        <v>302</v>
      </c>
      <c r="D44" s="26" t="s">
        <v>104</v>
      </c>
      <c r="E44" s="26" t="s">
        <v>104</v>
      </c>
      <c r="F44" s="26" t="s">
        <v>295</v>
      </c>
      <c r="G44" s="26" t="s">
        <v>104</v>
      </c>
      <c r="H44" s="10" t="str">
        <f aca="false">IF(AND(EXACT(D44,E44),EXACT(E44,F44),EXACT(F44,G44)),"Same","DIFF")</f>
        <v>DIFF</v>
      </c>
    </row>
    <row r="45" customFormat="false" ht="15" hidden="false" customHeight="false" outlineLevel="0" collapsed="false">
      <c r="A45" s="26" t="s">
        <v>101</v>
      </c>
      <c r="B45" s="26" t="s">
        <v>303</v>
      </c>
      <c r="C45" s="26" t="s">
        <v>304</v>
      </c>
      <c r="D45" s="26" t="s">
        <v>104</v>
      </c>
      <c r="E45" s="26" t="s">
        <v>104</v>
      </c>
      <c r="F45" s="26" t="s">
        <v>295</v>
      </c>
      <c r="G45" s="26" t="s">
        <v>104</v>
      </c>
      <c r="H45" s="10" t="str">
        <f aca="false">IF(AND(EXACT(D45,E45),EXACT(E45,F45),EXACT(F45,G45)),"Same","DIFF")</f>
        <v>DIFF</v>
      </c>
    </row>
    <row r="46" customFormat="false" ht="15" hidden="false" customHeight="false" outlineLevel="0" collapsed="false">
      <c r="A46" s="26" t="s">
        <v>101</v>
      </c>
      <c r="B46" s="26" t="s">
        <v>305</v>
      </c>
      <c r="C46" s="26" t="s">
        <v>306</v>
      </c>
      <c r="D46" s="26" t="s">
        <v>104</v>
      </c>
      <c r="E46" s="26" t="s">
        <v>104</v>
      </c>
      <c r="F46" s="26" t="s">
        <v>295</v>
      </c>
      <c r="G46" s="26" t="s">
        <v>104</v>
      </c>
      <c r="H46" s="10" t="str">
        <f aca="false">IF(AND(EXACT(D46,E46),EXACT(E46,F46),EXACT(F46,G46)),"Same","DIFF")</f>
        <v>DIFF</v>
      </c>
    </row>
    <row r="47" customFormat="false" ht="15" hidden="false" customHeight="false" outlineLevel="0" collapsed="false">
      <c r="A47" s="26" t="s">
        <v>307</v>
      </c>
      <c r="B47" s="26" t="s">
        <v>225</v>
      </c>
      <c r="C47" s="26"/>
      <c r="D47" s="26" t="s">
        <v>104</v>
      </c>
      <c r="E47" s="26" t="s">
        <v>104</v>
      </c>
      <c r="F47" s="26" t="s">
        <v>104</v>
      </c>
      <c r="G47" s="26" t="s">
        <v>226</v>
      </c>
      <c r="H47" s="10" t="str">
        <f aca="false">IF(AND(EXACT(D47,E47),EXACT(E47,F47),EXACT(F47,G47)),"Same","DIFF")</f>
        <v>DIFF</v>
      </c>
    </row>
    <row r="48" customFormat="false" ht="15" hidden="false" customHeight="false" outlineLevel="0" collapsed="false">
      <c r="A48" s="26" t="s">
        <v>307</v>
      </c>
      <c r="B48" s="26" t="s">
        <v>229</v>
      </c>
      <c r="C48" s="26"/>
      <c r="D48" s="26" t="s">
        <v>230</v>
      </c>
      <c r="E48" s="26" t="s">
        <v>230</v>
      </c>
      <c r="F48" s="26" t="s">
        <v>230</v>
      </c>
      <c r="G48" s="26" t="s">
        <v>230</v>
      </c>
      <c r="H48" s="10" t="str">
        <f aca="false">IF(AND(EXACT(D48,E48),EXACT(E48,F48),EXACT(F48,G48)),"Same","DIFF")</f>
        <v>Same</v>
      </c>
    </row>
    <row r="49" customFormat="false" ht="15" hidden="false" customHeight="false" outlineLevel="0" collapsed="false">
      <c r="A49" s="26" t="s">
        <v>307</v>
      </c>
      <c r="B49" s="26" t="s">
        <v>206</v>
      </c>
      <c r="C49" s="26"/>
      <c r="D49" s="26" t="s">
        <v>231</v>
      </c>
      <c r="E49" s="26" t="s">
        <v>231</v>
      </c>
      <c r="F49" s="26" t="s">
        <v>231</v>
      </c>
      <c r="G49" s="26" t="s">
        <v>231</v>
      </c>
      <c r="H49" s="10" t="str">
        <f aca="false">IF(AND(EXACT(D49,E49),EXACT(E49,F49),EXACT(F49,G49)),"Same","DIFF")</f>
        <v>Same</v>
      </c>
    </row>
    <row r="50" customFormat="false" ht="15" hidden="false" customHeight="false" outlineLevel="0" collapsed="false">
      <c r="A50" s="26" t="s">
        <v>307</v>
      </c>
      <c r="B50" s="26" t="s">
        <v>232</v>
      </c>
      <c r="C50" s="26"/>
      <c r="D50" s="26" t="s">
        <v>233</v>
      </c>
      <c r="E50" s="26" t="s">
        <v>233</v>
      </c>
      <c r="F50" s="26" t="s">
        <v>233</v>
      </c>
      <c r="G50" s="26" t="s">
        <v>233</v>
      </c>
      <c r="H50" s="10" t="str">
        <f aca="false">IF(AND(EXACT(D50,E50),EXACT(E50,F50),EXACT(F50,G50)),"Same","DIFF")</f>
        <v>Same</v>
      </c>
    </row>
    <row r="51" customFormat="false" ht="15" hidden="false" customHeight="false" outlineLevel="0" collapsed="false">
      <c r="A51" s="26" t="s">
        <v>307</v>
      </c>
      <c r="B51" s="26" t="s">
        <v>234</v>
      </c>
      <c r="C51" s="26"/>
      <c r="D51" s="26" t="s">
        <v>283</v>
      </c>
      <c r="E51" s="26" t="s">
        <v>283</v>
      </c>
      <c r="F51" s="26" t="s">
        <v>283</v>
      </c>
      <c r="G51" s="26" t="s">
        <v>283</v>
      </c>
      <c r="H51" s="10" t="str">
        <f aca="false">IF(AND(EXACT(D51,E51),EXACT(E51,F51),EXACT(F51,G51)),"Same","DIFF")</f>
        <v>Same</v>
      </c>
    </row>
    <row r="52" customFormat="false" ht="15" hidden="false" customHeight="false" outlineLevel="0" collapsed="false">
      <c r="A52" s="26" t="s">
        <v>307</v>
      </c>
      <c r="B52" s="26" t="s">
        <v>235</v>
      </c>
      <c r="C52" s="26"/>
      <c r="D52" s="26" t="s">
        <v>231</v>
      </c>
      <c r="E52" s="26" t="s">
        <v>231</v>
      </c>
      <c r="F52" s="26" t="s">
        <v>231</v>
      </c>
      <c r="G52" s="26" t="s">
        <v>231</v>
      </c>
      <c r="H52" s="10" t="str">
        <f aca="false">IF(AND(EXACT(D52,E52),EXACT(E52,F52),EXACT(F52,G52)),"Same","DIFF")</f>
        <v>Same</v>
      </c>
    </row>
    <row r="53" customFormat="false" ht="15" hidden="false" customHeight="false" outlineLevel="0" collapsed="false">
      <c r="A53" s="26" t="s">
        <v>307</v>
      </c>
      <c r="B53" s="26" t="s">
        <v>237</v>
      </c>
      <c r="C53" s="26"/>
      <c r="D53" s="26" t="s">
        <v>238</v>
      </c>
      <c r="E53" s="26" t="s">
        <v>238</v>
      </c>
      <c r="F53" s="26" t="s">
        <v>238</v>
      </c>
      <c r="G53" s="26" t="s">
        <v>238</v>
      </c>
      <c r="H53" s="10" t="str">
        <f aca="false">IF(AND(EXACT(D53,E53),EXACT(E53,F53),EXACT(F53,G53)),"Same","DIFF")</f>
        <v>Same</v>
      </c>
    </row>
    <row r="54" customFormat="false" ht="15" hidden="false" customHeight="false" outlineLevel="0" collapsed="false">
      <c r="A54" s="26" t="s">
        <v>307</v>
      </c>
      <c r="B54" s="26" t="s">
        <v>247</v>
      </c>
      <c r="C54" s="26"/>
      <c r="D54" s="26" t="s">
        <v>246</v>
      </c>
      <c r="E54" s="26" t="s">
        <v>246</v>
      </c>
      <c r="F54" s="26" t="s">
        <v>246</v>
      </c>
      <c r="G54" s="26" t="s">
        <v>246</v>
      </c>
      <c r="H54" s="10" t="str">
        <f aca="false">IF(AND(EXACT(D54,E54),EXACT(E54,F54),EXACT(F54,G54)),"Same","DIFF")</f>
        <v>Same</v>
      </c>
    </row>
    <row r="55" customFormat="false" ht="15" hidden="false" customHeight="false" outlineLevel="0" collapsed="false">
      <c r="A55" s="26" t="s">
        <v>307</v>
      </c>
      <c r="B55" s="26" t="s">
        <v>249</v>
      </c>
      <c r="C55" s="26"/>
      <c r="D55" s="26" t="s">
        <v>248</v>
      </c>
      <c r="E55" s="26" t="s">
        <v>248</v>
      </c>
      <c r="F55" s="26" t="s">
        <v>248</v>
      </c>
      <c r="G55" s="26" t="s">
        <v>248</v>
      </c>
      <c r="H55" s="10" t="str">
        <f aca="false">IF(AND(EXACT(D55,E55),EXACT(E55,F55),EXACT(F55,G55)),"Same","DIFF")</f>
        <v>Same</v>
      </c>
    </row>
    <row r="56" customFormat="false" ht="15" hidden="false" customHeight="false" outlineLevel="0" collapsed="false">
      <c r="A56" s="26" t="s">
        <v>307</v>
      </c>
      <c r="B56" s="26" t="s">
        <v>250</v>
      </c>
      <c r="C56" s="26"/>
      <c r="D56" s="26" t="s">
        <v>238</v>
      </c>
      <c r="E56" s="26" t="s">
        <v>238</v>
      </c>
      <c r="F56" s="26" t="s">
        <v>238</v>
      </c>
      <c r="G56" s="26" t="s">
        <v>238</v>
      </c>
      <c r="H56" s="10" t="str">
        <f aca="false">IF(AND(EXACT(D56,E56),EXACT(E56,F56),EXACT(F56,G56)),"Same","DIFF")</f>
        <v>Same</v>
      </c>
    </row>
    <row r="57" customFormat="false" ht="15" hidden="false" customHeight="false" outlineLevel="0" collapsed="false">
      <c r="A57" s="26" t="s">
        <v>307</v>
      </c>
      <c r="B57" s="26" t="s">
        <v>252</v>
      </c>
      <c r="C57" s="26"/>
      <c r="D57" s="26" t="s">
        <v>231</v>
      </c>
      <c r="E57" s="26" t="s">
        <v>231</v>
      </c>
      <c r="F57" s="26" t="s">
        <v>231</v>
      </c>
      <c r="G57" s="26" t="s">
        <v>231</v>
      </c>
      <c r="H57" s="10" t="str">
        <f aca="false">IF(AND(EXACT(D57,E57),EXACT(E57,F57),EXACT(F57,G57)),"Same","DIFF")</f>
        <v>Same</v>
      </c>
    </row>
    <row r="58" customFormat="false" ht="15" hidden="false" customHeight="false" outlineLevel="0" collapsed="false">
      <c r="A58" s="26" t="s">
        <v>307</v>
      </c>
      <c r="B58" s="26" t="s">
        <v>261</v>
      </c>
      <c r="C58" s="26"/>
      <c r="D58" s="26" t="s">
        <v>262</v>
      </c>
      <c r="E58" s="26" t="s">
        <v>262</v>
      </c>
      <c r="F58" s="26" t="s">
        <v>262</v>
      </c>
      <c r="G58" s="26" t="s">
        <v>262</v>
      </c>
      <c r="H58" s="10" t="str">
        <f aca="false">IF(AND(EXACT(D58,E58),EXACT(E58,F58),EXACT(F58,G58)),"Same","DIFF")</f>
        <v>Same</v>
      </c>
    </row>
    <row r="59" customFormat="false" ht="15" hidden="false" customHeight="false" outlineLevel="0" collapsed="false">
      <c r="A59" s="26" t="s">
        <v>307</v>
      </c>
      <c r="B59" s="26" t="s">
        <v>263</v>
      </c>
      <c r="C59" s="26"/>
      <c r="D59" s="26" t="s">
        <v>264</v>
      </c>
      <c r="E59" s="26" t="s">
        <v>264</v>
      </c>
      <c r="F59" s="26" t="s">
        <v>264</v>
      </c>
      <c r="G59" s="26" t="s">
        <v>264</v>
      </c>
      <c r="H59" s="10" t="str">
        <f aca="false">IF(AND(EXACT(D59,E59),EXACT(E59,F59),EXACT(F59,G59)),"Same","DIFF")</f>
        <v>Same</v>
      </c>
    </row>
    <row r="60" customFormat="false" ht="15" hidden="false" customHeight="false" outlineLevel="0" collapsed="false">
      <c r="A60" s="26" t="s">
        <v>307</v>
      </c>
      <c r="B60" s="26" t="s">
        <v>265</v>
      </c>
      <c r="C60" s="26"/>
      <c r="D60" s="26" t="s">
        <v>104</v>
      </c>
      <c r="E60" s="26" t="s">
        <v>104</v>
      </c>
      <c r="F60" s="26" t="s">
        <v>104</v>
      </c>
      <c r="G60" s="26" t="s">
        <v>267</v>
      </c>
      <c r="H60" s="10" t="str">
        <f aca="false">IF(AND(EXACT(D60,E60),EXACT(E60,F60),EXACT(F60,G60)),"Same","DIFF")</f>
        <v>DIFF</v>
      </c>
    </row>
    <row r="61" customFormat="false" ht="15" hidden="false" customHeight="false" outlineLevel="0" collapsed="false">
      <c r="A61" s="26" t="s">
        <v>307</v>
      </c>
      <c r="B61" s="26" t="s">
        <v>268</v>
      </c>
      <c r="C61" s="26"/>
      <c r="D61" s="26" t="s">
        <v>238</v>
      </c>
      <c r="E61" s="26" t="s">
        <v>238</v>
      </c>
      <c r="F61" s="26" t="s">
        <v>238</v>
      </c>
      <c r="G61" s="26" t="s">
        <v>238</v>
      </c>
      <c r="H61" s="10" t="str">
        <f aca="false">IF(AND(EXACT(D61,E61),EXACT(E61,F61),EXACT(F61,G61)),"Same","DIFF")</f>
        <v>Same</v>
      </c>
    </row>
    <row r="62" customFormat="false" ht="15" hidden="false" customHeight="false" outlineLevel="0" collapsed="false">
      <c r="A62" s="26" t="s">
        <v>307</v>
      </c>
      <c r="B62" s="26" t="s">
        <v>269</v>
      </c>
      <c r="C62" s="26"/>
      <c r="D62" s="26" t="s">
        <v>270</v>
      </c>
      <c r="E62" s="26" t="s">
        <v>270</v>
      </c>
      <c r="F62" s="26" t="s">
        <v>270</v>
      </c>
      <c r="G62" s="26" t="s">
        <v>270</v>
      </c>
      <c r="H62" s="10" t="str">
        <f aca="false">IF(AND(EXACT(D62,E62),EXACT(E62,F62),EXACT(F62,G62)),"Same","DIFF")</f>
        <v>Same</v>
      </c>
    </row>
    <row r="63" customFormat="false" ht="15" hidden="false" customHeight="false" outlineLevel="0" collapsed="false">
      <c r="A63" s="26" t="s">
        <v>307</v>
      </c>
      <c r="B63" s="26" t="s">
        <v>271</v>
      </c>
      <c r="C63" s="26"/>
      <c r="D63" s="26" t="s">
        <v>272</v>
      </c>
      <c r="E63" s="26" t="s">
        <v>272</v>
      </c>
      <c r="F63" s="26" t="s">
        <v>272</v>
      </c>
      <c r="G63" s="26" t="s">
        <v>272</v>
      </c>
      <c r="H63" s="10" t="str">
        <f aca="false">IF(AND(EXACT(D63,E63),EXACT(E63,F63),EXACT(F63,G63)),"Same","DIFF")</f>
        <v>Same</v>
      </c>
    </row>
    <row r="64" customFormat="false" ht="15" hidden="false" customHeight="false" outlineLevel="0" collapsed="false">
      <c r="A64" s="26" t="s">
        <v>307</v>
      </c>
      <c r="B64" s="26" t="s">
        <v>273</v>
      </c>
      <c r="C64" s="26"/>
      <c r="D64" s="26" t="s">
        <v>238</v>
      </c>
      <c r="E64" s="26" t="s">
        <v>238</v>
      </c>
      <c r="F64" s="26" t="s">
        <v>238</v>
      </c>
      <c r="G64" s="26" t="s">
        <v>238</v>
      </c>
      <c r="H64" s="10" t="str">
        <f aca="false">IF(AND(EXACT(D64,E64),EXACT(E64,F64),EXACT(F64,G64)),"Same","DIFF")</f>
        <v>Same</v>
      </c>
    </row>
    <row r="65" customFormat="false" ht="15" hidden="false" customHeight="false" outlineLevel="0" collapsed="false">
      <c r="A65" s="26" t="s">
        <v>307</v>
      </c>
      <c r="B65" s="26" t="s">
        <v>274</v>
      </c>
      <c r="C65" s="26"/>
      <c r="D65" s="26" t="s">
        <v>275</v>
      </c>
      <c r="E65" s="26" t="s">
        <v>275</v>
      </c>
      <c r="F65" s="26" t="s">
        <v>275</v>
      </c>
      <c r="G65" s="26" t="s">
        <v>275</v>
      </c>
      <c r="H65" s="10" t="str">
        <f aca="false">IF(AND(EXACT(D65,E65),EXACT(E65,F65),EXACT(F65,G65)),"Same","DIFF")</f>
        <v>Same</v>
      </c>
    </row>
    <row r="66" customFormat="false" ht="15" hidden="false" customHeight="false" outlineLevel="0" collapsed="false">
      <c r="A66" s="26" t="s">
        <v>307</v>
      </c>
      <c r="B66" s="26" t="s">
        <v>276</v>
      </c>
      <c r="C66" s="26"/>
      <c r="D66" s="26" t="s">
        <v>231</v>
      </c>
      <c r="E66" s="26" t="s">
        <v>231</v>
      </c>
      <c r="F66" s="26" t="s">
        <v>231</v>
      </c>
      <c r="G66" s="26" t="s">
        <v>231</v>
      </c>
      <c r="H66" s="10" t="str">
        <f aca="false">IF(AND(EXACT(D66,E66),EXACT(E66,F66),EXACT(F66,G66)),"Same","DIFF")</f>
        <v>Same</v>
      </c>
    </row>
    <row r="67" customFormat="false" ht="15" hidden="false" customHeight="false" outlineLevel="0" collapsed="false">
      <c r="A67" s="26" t="s">
        <v>307</v>
      </c>
      <c r="B67" s="26" t="s">
        <v>277</v>
      </c>
      <c r="C67" s="26"/>
      <c r="D67" s="26" t="s">
        <v>231</v>
      </c>
      <c r="E67" s="26" t="s">
        <v>231</v>
      </c>
      <c r="F67" s="26" t="s">
        <v>231</v>
      </c>
      <c r="G67" s="26" t="s">
        <v>231</v>
      </c>
      <c r="H67" s="10" t="str">
        <f aca="false">IF(AND(EXACT(D67,E67),EXACT(E67,F67),EXACT(F67,G67)),"Same","DIFF")</f>
        <v>Same</v>
      </c>
    </row>
    <row r="68" customFormat="false" ht="15" hidden="false" customHeight="false" outlineLevel="0" collapsed="false">
      <c r="A68" s="26" t="s">
        <v>307</v>
      </c>
      <c r="B68" s="26" t="s">
        <v>278</v>
      </c>
      <c r="C68" s="26"/>
      <c r="D68" s="26" t="s">
        <v>231</v>
      </c>
      <c r="E68" s="26" t="s">
        <v>231</v>
      </c>
      <c r="F68" s="26" t="s">
        <v>231</v>
      </c>
      <c r="G68" s="26" t="s">
        <v>231</v>
      </c>
      <c r="H68" s="10" t="str">
        <f aca="false">IF(AND(EXACT(D68,E68),EXACT(E68,F68),EXACT(F68,G68)),"Same","DIFF")</f>
        <v>Same</v>
      </c>
    </row>
    <row r="69" customFormat="false" ht="15" hidden="false" customHeight="false" outlineLevel="0" collapsed="false">
      <c r="A69" s="26" t="s">
        <v>307</v>
      </c>
      <c r="B69" s="26" t="s">
        <v>279</v>
      </c>
      <c r="C69" s="26"/>
      <c r="D69" s="26" t="s">
        <v>231</v>
      </c>
      <c r="E69" s="26" t="s">
        <v>231</v>
      </c>
      <c r="F69" s="26" t="s">
        <v>231</v>
      </c>
      <c r="G69" s="26" t="s">
        <v>231</v>
      </c>
      <c r="H69" s="10" t="str">
        <f aca="false">IF(AND(EXACT(D69,E69),EXACT(E69,F69),EXACT(F69,G69)),"Same","DIFF")</f>
        <v>Same</v>
      </c>
    </row>
    <row r="70" customFormat="false" ht="15" hidden="false" customHeight="false" outlineLevel="0" collapsed="false">
      <c r="A70" s="26" t="s">
        <v>307</v>
      </c>
      <c r="B70" s="26" t="s">
        <v>280</v>
      </c>
      <c r="C70" s="26"/>
      <c r="D70" s="26" t="s">
        <v>231</v>
      </c>
      <c r="E70" s="26" t="s">
        <v>231</v>
      </c>
      <c r="F70" s="26" t="s">
        <v>231</v>
      </c>
      <c r="G70" s="26" t="s">
        <v>231</v>
      </c>
      <c r="H70" s="10" t="str">
        <f aca="false">IF(AND(EXACT(D70,E70),EXACT(E70,F70),EXACT(F70,G70)),"Same","DIFF")</f>
        <v>Same</v>
      </c>
    </row>
    <row r="71" customFormat="false" ht="15" hidden="false" customHeight="false" outlineLevel="0" collapsed="false">
      <c r="A71" s="26" t="s">
        <v>307</v>
      </c>
      <c r="B71" s="26" t="s">
        <v>281</v>
      </c>
      <c r="C71" s="26"/>
      <c r="D71" s="26" t="s">
        <v>240</v>
      </c>
      <c r="E71" s="26" t="s">
        <v>240</v>
      </c>
      <c r="F71" s="26" t="s">
        <v>240</v>
      </c>
      <c r="G71" s="26" t="s">
        <v>240</v>
      </c>
      <c r="H71" s="10" t="str">
        <f aca="false">IF(AND(EXACT(D71,E71),EXACT(E71,F71),EXACT(F71,G71)),"Same","DIFF")</f>
        <v>Same</v>
      </c>
    </row>
    <row r="72" customFormat="false" ht="15" hidden="false" customHeight="false" outlineLevel="0" collapsed="false">
      <c r="A72" s="26" t="s">
        <v>307</v>
      </c>
      <c r="B72" s="26" t="s">
        <v>282</v>
      </c>
      <c r="C72" s="26"/>
      <c r="D72" s="26" t="s">
        <v>283</v>
      </c>
      <c r="E72" s="26" t="s">
        <v>283</v>
      </c>
      <c r="F72" s="26" t="s">
        <v>283</v>
      </c>
      <c r="G72" s="26" t="s">
        <v>283</v>
      </c>
      <c r="H72" s="10" t="str">
        <f aca="false">IF(AND(EXACT(D72,E72),EXACT(E72,F72),EXACT(F72,G72)),"Same","DIFF")</f>
        <v>Same</v>
      </c>
    </row>
    <row r="73" customFormat="false" ht="15" hidden="false" customHeight="false" outlineLevel="0" collapsed="false">
      <c r="A73" s="26" t="s">
        <v>307</v>
      </c>
      <c r="B73" s="26" t="s">
        <v>284</v>
      </c>
      <c r="C73" s="26"/>
      <c r="D73" s="26" t="s">
        <v>238</v>
      </c>
      <c r="E73" s="26" t="s">
        <v>238</v>
      </c>
      <c r="F73" s="26" t="s">
        <v>238</v>
      </c>
      <c r="G73" s="26" t="s">
        <v>238</v>
      </c>
      <c r="H73" s="10" t="str">
        <f aca="false">IF(AND(EXACT(D73,E73),EXACT(E73,F73),EXACT(F73,G73)),"Same","DIFF")</f>
        <v>Same</v>
      </c>
    </row>
    <row r="74" customFormat="false" ht="15" hidden="false" customHeight="false" outlineLevel="0" collapsed="false">
      <c r="A74" s="26" t="s">
        <v>307</v>
      </c>
      <c r="B74" s="26" t="s">
        <v>285</v>
      </c>
      <c r="C74" s="26"/>
      <c r="D74" s="26" t="s">
        <v>238</v>
      </c>
      <c r="E74" s="26" t="s">
        <v>238</v>
      </c>
      <c r="F74" s="26" t="s">
        <v>238</v>
      </c>
      <c r="G74" s="26" t="s">
        <v>238</v>
      </c>
      <c r="H74" s="10" t="str">
        <f aca="false">IF(AND(EXACT(D74,E74),EXACT(E74,F74),EXACT(F74,G74)),"Same","DIFF")</f>
        <v>Same</v>
      </c>
    </row>
    <row r="75" customFormat="false" ht="15" hidden="false" customHeight="false" outlineLevel="0" collapsed="false">
      <c r="A75" s="26" t="s">
        <v>307</v>
      </c>
      <c r="B75" s="26" t="s">
        <v>308</v>
      </c>
      <c r="C75" s="26"/>
      <c r="D75" s="26" t="s">
        <v>231</v>
      </c>
      <c r="E75" s="26" t="s">
        <v>231</v>
      </c>
      <c r="F75" s="26" t="s">
        <v>231</v>
      </c>
      <c r="G75" s="26" t="s">
        <v>231</v>
      </c>
      <c r="H75" s="10" t="str">
        <f aca="false">IF(AND(EXACT(D75,E75),EXACT(E75,F75),EXACT(F75,G75)),"Same","DIFF")</f>
        <v>Same</v>
      </c>
    </row>
    <row r="76" customFormat="false" ht="15" hidden="false" customHeight="false" outlineLevel="0" collapsed="false">
      <c r="A76" s="26" t="s">
        <v>307</v>
      </c>
      <c r="B76" s="26" t="s">
        <v>309</v>
      </c>
      <c r="C76" s="26"/>
      <c r="D76" s="26" t="s">
        <v>104</v>
      </c>
      <c r="E76" s="26" t="s">
        <v>104</v>
      </c>
      <c r="F76" s="26" t="s">
        <v>231</v>
      </c>
      <c r="G76" s="26" t="s">
        <v>104</v>
      </c>
      <c r="H76" s="10" t="str">
        <f aca="false">IF(AND(EXACT(D76,E76),EXACT(E76,F76),EXACT(F76,G76)),"Same","DIFF")</f>
        <v>DIFF</v>
      </c>
    </row>
    <row r="77" customFormat="false" ht="15" hidden="false" customHeight="false" outlineLevel="0" collapsed="false">
      <c r="A77" s="26" t="s">
        <v>307</v>
      </c>
      <c r="B77" s="26" t="s">
        <v>287</v>
      </c>
      <c r="C77" s="26" t="s">
        <v>310</v>
      </c>
      <c r="D77" s="26" t="s">
        <v>289</v>
      </c>
      <c r="E77" s="26" t="s">
        <v>289</v>
      </c>
      <c r="F77" s="26" t="s">
        <v>289</v>
      </c>
      <c r="G77" s="26" t="s">
        <v>289</v>
      </c>
      <c r="H77" s="10" t="str">
        <f aca="false">IF(AND(EXACT(D77,E77),EXACT(E77,F77),EXACT(F77,G77)),"Same","DIFF")</f>
        <v>Same</v>
      </c>
    </row>
    <row r="78" customFormat="false" ht="15" hidden="false" customHeight="false" outlineLevel="0" collapsed="false">
      <c r="A78" s="26" t="s">
        <v>138</v>
      </c>
      <c r="B78" s="26" t="s">
        <v>225</v>
      </c>
      <c r="C78" s="26"/>
      <c r="D78" s="26" t="s">
        <v>104</v>
      </c>
      <c r="E78" s="26" t="s">
        <v>104</v>
      </c>
      <c r="F78" s="26" t="s">
        <v>104</v>
      </c>
      <c r="G78" s="26" t="s">
        <v>226</v>
      </c>
      <c r="H78" s="10" t="str">
        <f aca="false">IF(AND(EXACT(D78,E78),EXACT(E78,F78),EXACT(F78,G78)),"Same","DIFF")</f>
        <v>DIFF</v>
      </c>
    </row>
    <row r="79" customFormat="false" ht="15" hidden="false" customHeight="false" outlineLevel="0" collapsed="false">
      <c r="A79" s="26" t="s">
        <v>138</v>
      </c>
      <c r="B79" s="26" t="s">
        <v>227</v>
      </c>
      <c r="C79" s="26"/>
      <c r="D79" s="26" t="s">
        <v>104</v>
      </c>
      <c r="E79" s="26" t="s">
        <v>104</v>
      </c>
      <c r="F79" s="26" t="s">
        <v>104</v>
      </c>
      <c r="G79" s="26" t="s">
        <v>228</v>
      </c>
      <c r="H79" s="10" t="str">
        <f aca="false">IF(AND(EXACT(D79,E79),EXACT(E79,F79),EXACT(F79,G79)),"Same","DIFF")</f>
        <v>DIFF</v>
      </c>
    </row>
    <row r="80" customFormat="false" ht="15" hidden="false" customHeight="false" outlineLevel="0" collapsed="false">
      <c r="A80" s="26" t="s">
        <v>138</v>
      </c>
      <c r="B80" s="26" t="s">
        <v>229</v>
      </c>
      <c r="C80" s="26"/>
      <c r="D80" s="26" t="s">
        <v>104</v>
      </c>
      <c r="E80" s="26" t="s">
        <v>104</v>
      </c>
      <c r="F80" s="26" t="s">
        <v>104</v>
      </c>
      <c r="G80" s="26" t="s">
        <v>230</v>
      </c>
      <c r="H80" s="10" t="str">
        <f aca="false">IF(AND(EXACT(D80,E80),EXACT(E80,F80),EXACT(F80,G80)),"Same","DIFF")</f>
        <v>DIFF</v>
      </c>
    </row>
    <row r="81" customFormat="false" ht="15" hidden="false" customHeight="false" outlineLevel="0" collapsed="false">
      <c r="A81" s="26" t="s">
        <v>138</v>
      </c>
      <c r="B81" s="26" t="s">
        <v>206</v>
      </c>
      <c r="C81" s="26"/>
      <c r="D81" s="26" t="s">
        <v>104</v>
      </c>
      <c r="E81" s="26" t="s">
        <v>104</v>
      </c>
      <c r="F81" s="26" t="s">
        <v>104</v>
      </c>
      <c r="G81" s="26" t="s">
        <v>231</v>
      </c>
      <c r="H81" s="10" t="str">
        <f aca="false">IF(AND(EXACT(D81,E81),EXACT(E81,F81),EXACT(F81,G81)),"Same","DIFF")</f>
        <v>DIFF</v>
      </c>
    </row>
    <row r="82" customFormat="false" ht="15" hidden="false" customHeight="false" outlineLevel="0" collapsed="false">
      <c r="A82" s="26" t="s">
        <v>138</v>
      </c>
      <c r="B82" s="26" t="s">
        <v>232</v>
      </c>
      <c r="C82" s="26"/>
      <c r="D82" s="26" t="s">
        <v>104</v>
      </c>
      <c r="E82" s="26" t="s">
        <v>104</v>
      </c>
      <c r="F82" s="26" t="s">
        <v>104</v>
      </c>
      <c r="G82" s="26" t="s">
        <v>233</v>
      </c>
      <c r="H82" s="10" t="str">
        <f aca="false">IF(AND(EXACT(D82,E82),EXACT(E82,F82),EXACT(F82,G82)),"Same","DIFF")</f>
        <v>DIFF</v>
      </c>
    </row>
    <row r="83" customFormat="false" ht="15" hidden="false" customHeight="false" outlineLevel="0" collapsed="false">
      <c r="A83" s="26" t="s">
        <v>138</v>
      </c>
      <c r="B83" s="26" t="s">
        <v>234</v>
      </c>
      <c r="C83" s="26"/>
      <c r="D83" s="26" t="s">
        <v>104</v>
      </c>
      <c r="E83" s="26" t="s">
        <v>104</v>
      </c>
      <c r="F83" s="26" t="s">
        <v>104</v>
      </c>
      <c r="G83" s="26" t="s">
        <v>233</v>
      </c>
      <c r="H83" s="10" t="str">
        <f aca="false">IF(AND(EXACT(D83,E83),EXACT(E83,F83),EXACT(F83,G83)),"Same","DIFF")</f>
        <v>DIFF</v>
      </c>
    </row>
    <row r="84" customFormat="false" ht="15" hidden="false" customHeight="false" outlineLevel="0" collapsed="false">
      <c r="A84" s="26" t="s">
        <v>138</v>
      </c>
      <c r="B84" s="26" t="s">
        <v>235</v>
      </c>
      <c r="C84" s="26"/>
      <c r="D84" s="26" t="s">
        <v>104</v>
      </c>
      <c r="E84" s="26" t="s">
        <v>104</v>
      </c>
      <c r="F84" s="26" t="s">
        <v>104</v>
      </c>
      <c r="G84" s="26" t="s">
        <v>236</v>
      </c>
      <c r="H84" s="10" t="str">
        <f aca="false">IF(AND(EXACT(D84,E84),EXACT(E84,F84),EXACT(F84,G84)),"Same","DIFF")</f>
        <v>DIFF</v>
      </c>
    </row>
    <row r="85" customFormat="false" ht="15" hidden="false" customHeight="false" outlineLevel="0" collapsed="false">
      <c r="A85" s="26" t="s">
        <v>138</v>
      </c>
      <c r="B85" s="26" t="s">
        <v>237</v>
      </c>
      <c r="C85" s="26"/>
      <c r="D85" s="26" t="s">
        <v>104</v>
      </c>
      <c r="E85" s="26" t="s">
        <v>104</v>
      </c>
      <c r="F85" s="26" t="s">
        <v>104</v>
      </c>
      <c r="G85" s="26" t="s">
        <v>238</v>
      </c>
      <c r="H85" s="10" t="str">
        <f aca="false">IF(AND(EXACT(D85,E85),EXACT(E85,F85),EXACT(F85,G85)),"Same","DIFF")</f>
        <v>DIFF</v>
      </c>
    </row>
    <row r="86" customFormat="false" ht="15" hidden="false" customHeight="false" outlineLevel="0" collapsed="false">
      <c r="A86" s="26" t="s">
        <v>138</v>
      </c>
      <c r="B86" s="26" t="s">
        <v>242</v>
      </c>
      <c r="C86" s="26"/>
      <c r="D86" s="26" t="s">
        <v>104</v>
      </c>
      <c r="E86" s="26" t="s">
        <v>104</v>
      </c>
      <c r="F86" s="26" t="s">
        <v>104</v>
      </c>
      <c r="G86" s="26" t="s">
        <v>243</v>
      </c>
      <c r="H86" s="10" t="str">
        <f aca="false">IF(AND(EXACT(D86,E86),EXACT(E86,F86),EXACT(F86,G86)),"Same","DIFF")</f>
        <v>DIFF</v>
      </c>
    </row>
    <row r="87" customFormat="false" ht="15" hidden="false" customHeight="false" outlineLevel="0" collapsed="false">
      <c r="A87" s="26" t="s">
        <v>138</v>
      </c>
      <c r="B87" s="26" t="s">
        <v>245</v>
      </c>
      <c r="C87" s="26"/>
      <c r="D87" s="26" t="s">
        <v>104</v>
      </c>
      <c r="E87" s="26" t="s">
        <v>104</v>
      </c>
      <c r="F87" s="26" t="s">
        <v>104</v>
      </c>
      <c r="G87" s="26" t="s">
        <v>246</v>
      </c>
      <c r="H87" s="10" t="str">
        <f aca="false">IF(AND(EXACT(D87,E87),EXACT(E87,F87),EXACT(F87,G87)),"Same","DIFF")</f>
        <v>DIFF</v>
      </c>
    </row>
    <row r="88" customFormat="false" ht="15" hidden="false" customHeight="false" outlineLevel="0" collapsed="false">
      <c r="A88" s="26" t="s">
        <v>138</v>
      </c>
      <c r="B88" s="26" t="s">
        <v>247</v>
      </c>
      <c r="C88" s="26"/>
      <c r="D88" s="26" t="s">
        <v>104</v>
      </c>
      <c r="E88" s="26" t="s">
        <v>104</v>
      </c>
      <c r="F88" s="26" t="s">
        <v>104</v>
      </c>
      <c r="G88" s="26" t="s">
        <v>248</v>
      </c>
      <c r="H88" s="10" t="str">
        <f aca="false">IF(AND(EXACT(D88,E88),EXACT(E88,F88),EXACT(F88,G88)),"Same","DIFF")</f>
        <v>DIFF</v>
      </c>
    </row>
    <row r="89" customFormat="false" ht="15" hidden="false" customHeight="false" outlineLevel="0" collapsed="false">
      <c r="A89" s="26" t="s">
        <v>138</v>
      </c>
      <c r="B89" s="26" t="s">
        <v>249</v>
      </c>
      <c r="C89" s="26"/>
      <c r="D89" s="26" t="s">
        <v>104</v>
      </c>
      <c r="E89" s="26" t="s">
        <v>104</v>
      </c>
      <c r="F89" s="26" t="s">
        <v>104</v>
      </c>
      <c r="G89" s="26" t="s">
        <v>248</v>
      </c>
      <c r="H89" s="10" t="str">
        <f aca="false">IF(AND(EXACT(D89,E89),EXACT(E89,F89),EXACT(F89,G89)),"Same","DIFF")</f>
        <v>DIFF</v>
      </c>
    </row>
    <row r="90" customFormat="false" ht="15" hidden="false" customHeight="false" outlineLevel="0" collapsed="false">
      <c r="A90" s="26" t="s">
        <v>138</v>
      </c>
      <c r="B90" s="26" t="s">
        <v>250</v>
      </c>
      <c r="C90" s="26"/>
      <c r="D90" s="26" t="s">
        <v>104</v>
      </c>
      <c r="E90" s="26" t="s">
        <v>104</v>
      </c>
      <c r="F90" s="26" t="s">
        <v>104</v>
      </c>
      <c r="G90" s="26" t="s">
        <v>238</v>
      </c>
      <c r="H90" s="10" t="str">
        <f aca="false">IF(AND(EXACT(D90,E90),EXACT(E90,F90),EXACT(F90,G90)),"Same","DIFF")</f>
        <v>DIFF</v>
      </c>
    </row>
    <row r="91" customFormat="false" ht="15" hidden="false" customHeight="false" outlineLevel="0" collapsed="false">
      <c r="A91" s="26" t="s">
        <v>138</v>
      </c>
      <c r="B91" s="26" t="s">
        <v>251</v>
      </c>
      <c r="C91" s="26"/>
      <c r="D91" s="26" t="s">
        <v>104</v>
      </c>
      <c r="E91" s="26" t="s">
        <v>104</v>
      </c>
      <c r="F91" s="26" t="s">
        <v>104</v>
      </c>
      <c r="G91" s="26" t="s">
        <v>236</v>
      </c>
      <c r="H91" s="10" t="str">
        <f aca="false">IF(AND(EXACT(D91,E91),EXACT(E91,F91),EXACT(F91,G91)),"Same","DIFF")</f>
        <v>DIFF</v>
      </c>
    </row>
    <row r="92" customFormat="false" ht="15" hidden="false" customHeight="false" outlineLevel="0" collapsed="false">
      <c r="A92" s="26" t="s">
        <v>138</v>
      </c>
      <c r="B92" s="26" t="s">
        <v>252</v>
      </c>
      <c r="C92" s="26"/>
      <c r="D92" s="26" t="s">
        <v>104</v>
      </c>
      <c r="E92" s="26" t="s">
        <v>104</v>
      </c>
      <c r="F92" s="26" t="s">
        <v>104</v>
      </c>
      <c r="G92" s="26" t="s">
        <v>231</v>
      </c>
      <c r="H92" s="10" t="str">
        <f aca="false">IF(AND(EXACT(D92,E92),EXACT(E92,F92),EXACT(F92,G92)),"Same","DIFF")</f>
        <v>DIFF</v>
      </c>
    </row>
    <row r="93" customFormat="false" ht="15" hidden="false" customHeight="false" outlineLevel="0" collapsed="false">
      <c r="A93" s="26" t="s">
        <v>138</v>
      </c>
      <c r="B93" s="26" t="s">
        <v>255</v>
      </c>
      <c r="C93" s="26"/>
      <c r="D93" s="26" t="s">
        <v>104</v>
      </c>
      <c r="E93" s="26" t="s">
        <v>104</v>
      </c>
      <c r="F93" s="26" t="s">
        <v>104</v>
      </c>
      <c r="G93" s="26" t="s">
        <v>256</v>
      </c>
      <c r="H93" s="10" t="str">
        <f aca="false">IF(AND(EXACT(D93,E93),EXACT(E93,F93),EXACT(F93,G93)),"Same","DIFF")</f>
        <v>DIFF</v>
      </c>
    </row>
    <row r="94" customFormat="false" ht="15" hidden="false" customHeight="false" outlineLevel="0" collapsed="false">
      <c r="A94" s="26" t="s">
        <v>138</v>
      </c>
      <c r="B94" s="26" t="s">
        <v>257</v>
      </c>
      <c r="C94" s="26"/>
      <c r="D94" s="26" t="s">
        <v>104</v>
      </c>
      <c r="E94" s="26" t="s">
        <v>104</v>
      </c>
      <c r="F94" s="26" t="s">
        <v>104</v>
      </c>
      <c r="G94" s="26" t="s">
        <v>244</v>
      </c>
      <c r="H94" s="10" t="str">
        <f aca="false">IF(AND(EXACT(D94,E94),EXACT(E94,F94),EXACT(F94,G94)),"Same","DIFF")</f>
        <v>DIFF</v>
      </c>
    </row>
    <row r="95" customFormat="false" ht="15" hidden="false" customHeight="false" outlineLevel="0" collapsed="false">
      <c r="A95" s="26" t="s">
        <v>138</v>
      </c>
      <c r="B95" s="26" t="s">
        <v>258</v>
      </c>
      <c r="C95" s="26"/>
      <c r="D95" s="26" t="s">
        <v>104</v>
      </c>
      <c r="E95" s="26" t="s">
        <v>104</v>
      </c>
      <c r="F95" s="26" t="s">
        <v>104</v>
      </c>
      <c r="G95" s="26" t="s">
        <v>259</v>
      </c>
      <c r="H95" s="10" t="str">
        <f aca="false">IF(AND(EXACT(D95,E95),EXACT(E95,F95),EXACT(F95,G95)),"Same","DIFF")</f>
        <v>DIFF</v>
      </c>
    </row>
    <row r="96" customFormat="false" ht="15" hidden="false" customHeight="false" outlineLevel="0" collapsed="false">
      <c r="A96" s="26" t="s">
        <v>138</v>
      </c>
      <c r="B96" s="26" t="s">
        <v>261</v>
      </c>
      <c r="C96" s="26"/>
      <c r="D96" s="26" t="s">
        <v>104</v>
      </c>
      <c r="E96" s="26" t="s">
        <v>104</v>
      </c>
      <c r="F96" s="26" t="s">
        <v>104</v>
      </c>
      <c r="G96" s="26" t="s">
        <v>262</v>
      </c>
      <c r="H96" s="10" t="str">
        <f aca="false">IF(AND(EXACT(D96,E96),EXACT(E96,F96),EXACT(F96,G96)),"Same","DIFF")</f>
        <v>DIFF</v>
      </c>
    </row>
    <row r="97" customFormat="false" ht="15" hidden="false" customHeight="false" outlineLevel="0" collapsed="false">
      <c r="A97" s="26" t="s">
        <v>138</v>
      </c>
      <c r="B97" s="26" t="s">
        <v>263</v>
      </c>
      <c r="C97" s="26"/>
      <c r="D97" s="26" t="s">
        <v>104</v>
      </c>
      <c r="E97" s="26" t="s">
        <v>104</v>
      </c>
      <c r="F97" s="26" t="s">
        <v>104</v>
      </c>
      <c r="G97" s="26" t="s">
        <v>264</v>
      </c>
      <c r="H97" s="10" t="str">
        <f aca="false">IF(AND(EXACT(D97,E97),EXACT(E97,F97),EXACT(F97,G97)),"Same","DIFF")</f>
        <v>DIFF</v>
      </c>
    </row>
    <row r="98" customFormat="false" ht="15" hidden="false" customHeight="false" outlineLevel="0" collapsed="false">
      <c r="A98" s="26" t="s">
        <v>138</v>
      </c>
      <c r="B98" s="26" t="s">
        <v>265</v>
      </c>
      <c r="C98" s="26"/>
      <c r="D98" s="26" t="s">
        <v>104</v>
      </c>
      <c r="E98" s="26" t="s">
        <v>104</v>
      </c>
      <c r="F98" s="26" t="s">
        <v>104</v>
      </c>
      <c r="G98" s="26" t="s">
        <v>266</v>
      </c>
      <c r="H98" s="10" t="str">
        <f aca="false">IF(AND(EXACT(D98,E98),EXACT(E98,F98),EXACT(F98,G98)),"Same","DIFF")</f>
        <v>DIFF</v>
      </c>
    </row>
    <row r="99" customFormat="false" ht="15" hidden="false" customHeight="false" outlineLevel="0" collapsed="false">
      <c r="A99" s="26" t="s">
        <v>138</v>
      </c>
      <c r="B99" s="26" t="s">
        <v>268</v>
      </c>
      <c r="C99" s="26"/>
      <c r="D99" s="26" t="s">
        <v>104</v>
      </c>
      <c r="E99" s="26" t="s">
        <v>104</v>
      </c>
      <c r="F99" s="26" t="s">
        <v>104</v>
      </c>
      <c r="G99" s="26" t="s">
        <v>238</v>
      </c>
      <c r="H99" s="10" t="str">
        <f aca="false">IF(AND(EXACT(D99,E99),EXACT(E99,F99),EXACT(F99,G99)),"Same","DIFF")</f>
        <v>DIFF</v>
      </c>
    </row>
    <row r="100" customFormat="false" ht="15" hidden="false" customHeight="false" outlineLevel="0" collapsed="false">
      <c r="A100" s="26" t="s">
        <v>138</v>
      </c>
      <c r="B100" s="26" t="s">
        <v>269</v>
      </c>
      <c r="C100" s="26"/>
      <c r="D100" s="26" t="s">
        <v>104</v>
      </c>
      <c r="E100" s="26" t="s">
        <v>104</v>
      </c>
      <c r="F100" s="26" t="s">
        <v>104</v>
      </c>
      <c r="G100" s="26" t="s">
        <v>270</v>
      </c>
      <c r="H100" s="10" t="str">
        <f aca="false">IF(AND(EXACT(D100,E100),EXACT(E100,F100),EXACT(F100,G100)),"Same","DIFF")</f>
        <v>DIFF</v>
      </c>
    </row>
    <row r="101" customFormat="false" ht="15" hidden="false" customHeight="false" outlineLevel="0" collapsed="false">
      <c r="A101" s="26" t="s">
        <v>138</v>
      </c>
      <c r="B101" s="26" t="s">
        <v>271</v>
      </c>
      <c r="C101" s="26"/>
      <c r="D101" s="26" t="s">
        <v>104</v>
      </c>
      <c r="E101" s="26" t="s">
        <v>104</v>
      </c>
      <c r="F101" s="26" t="s">
        <v>104</v>
      </c>
      <c r="G101" s="26" t="s">
        <v>272</v>
      </c>
      <c r="H101" s="10" t="str">
        <f aca="false">IF(AND(EXACT(D101,E101),EXACT(E101,F101),EXACT(F101,G101)),"Same","DIFF")</f>
        <v>DIFF</v>
      </c>
    </row>
    <row r="102" customFormat="false" ht="15" hidden="false" customHeight="false" outlineLevel="0" collapsed="false">
      <c r="A102" s="26" t="s">
        <v>138</v>
      </c>
      <c r="B102" s="26" t="s">
        <v>273</v>
      </c>
      <c r="C102" s="26"/>
      <c r="D102" s="26" t="s">
        <v>104</v>
      </c>
      <c r="E102" s="26" t="s">
        <v>104</v>
      </c>
      <c r="F102" s="26" t="s">
        <v>104</v>
      </c>
      <c r="G102" s="26" t="s">
        <v>238</v>
      </c>
      <c r="H102" s="10" t="str">
        <f aca="false">IF(AND(EXACT(D102,E102),EXACT(E102,F102),EXACT(F102,G102)),"Same","DIFF")</f>
        <v>DIFF</v>
      </c>
    </row>
    <row r="103" customFormat="false" ht="15" hidden="false" customHeight="false" outlineLevel="0" collapsed="false">
      <c r="A103" s="26" t="s">
        <v>138</v>
      </c>
      <c r="B103" s="26" t="s">
        <v>274</v>
      </c>
      <c r="C103" s="26"/>
      <c r="D103" s="26" t="s">
        <v>104</v>
      </c>
      <c r="E103" s="26" t="s">
        <v>104</v>
      </c>
      <c r="F103" s="26" t="s">
        <v>104</v>
      </c>
      <c r="G103" s="26" t="s">
        <v>275</v>
      </c>
      <c r="H103" s="10" t="str">
        <f aca="false">IF(AND(EXACT(D103,E103),EXACT(E103,F103),EXACT(F103,G103)),"Same","DIFF")</f>
        <v>DIFF</v>
      </c>
    </row>
    <row r="104" customFormat="false" ht="15" hidden="false" customHeight="false" outlineLevel="0" collapsed="false">
      <c r="A104" s="26" t="s">
        <v>138</v>
      </c>
      <c r="B104" s="26" t="s">
        <v>276</v>
      </c>
      <c r="C104" s="26"/>
      <c r="D104" s="26" t="s">
        <v>104</v>
      </c>
      <c r="E104" s="26" t="s">
        <v>104</v>
      </c>
      <c r="F104" s="26" t="s">
        <v>104</v>
      </c>
      <c r="G104" s="26" t="s">
        <v>231</v>
      </c>
      <c r="H104" s="10" t="str">
        <f aca="false">IF(AND(EXACT(D104,E104),EXACT(E104,F104),EXACT(F104,G104)),"Same","DIFF")</f>
        <v>DIFF</v>
      </c>
    </row>
    <row r="105" customFormat="false" ht="15" hidden="false" customHeight="false" outlineLevel="0" collapsed="false">
      <c r="A105" s="26" t="s">
        <v>138</v>
      </c>
      <c r="B105" s="26" t="s">
        <v>277</v>
      </c>
      <c r="C105" s="26"/>
      <c r="D105" s="26" t="s">
        <v>104</v>
      </c>
      <c r="E105" s="26" t="s">
        <v>104</v>
      </c>
      <c r="F105" s="26" t="s">
        <v>104</v>
      </c>
      <c r="G105" s="26" t="s">
        <v>231</v>
      </c>
      <c r="H105" s="10" t="str">
        <f aca="false">IF(AND(EXACT(D105,E105),EXACT(E105,F105),EXACT(F105,G105)),"Same","DIFF")</f>
        <v>DIFF</v>
      </c>
    </row>
    <row r="106" customFormat="false" ht="15" hidden="false" customHeight="false" outlineLevel="0" collapsed="false">
      <c r="A106" s="26" t="s">
        <v>138</v>
      </c>
      <c r="B106" s="26" t="s">
        <v>278</v>
      </c>
      <c r="C106" s="26"/>
      <c r="D106" s="26" t="s">
        <v>104</v>
      </c>
      <c r="E106" s="26" t="s">
        <v>104</v>
      </c>
      <c r="F106" s="26" t="s">
        <v>104</v>
      </c>
      <c r="G106" s="26" t="s">
        <v>231</v>
      </c>
      <c r="H106" s="10" t="str">
        <f aca="false">IF(AND(EXACT(D106,E106),EXACT(E106,F106),EXACT(F106,G106)),"Same","DIFF")</f>
        <v>DIFF</v>
      </c>
    </row>
    <row r="107" customFormat="false" ht="15" hidden="false" customHeight="false" outlineLevel="0" collapsed="false">
      <c r="A107" s="26" t="s">
        <v>138</v>
      </c>
      <c r="B107" s="26" t="s">
        <v>279</v>
      </c>
      <c r="C107" s="26"/>
      <c r="D107" s="26" t="s">
        <v>104</v>
      </c>
      <c r="E107" s="26" t="s">
        <v>104</v>
      </c>
      <c r="F107" s="26" t="s">
        <v>104</v>
      </c>
      <c r="G107" s="26" t="s">
        <v>231</v>
      </c>
      <c r="H107" s="10" t="str">
        <f aca="false">IF(AND(EXACT(D107,E107),EXACT(E107,F107),EXACT(F107,G107)),"Same","DIFF")</f>
        <v>DIFF</v>
      </c>
    </row>
    <row r="108" customFormat="false" ht="15" hidden="false" customHeight="false" outlineLevel="0" collapsed="false">
      <c r="A108" s="26" t="s">
        <v>138</v>
      </c>
      <c r="B108" s="26" t="s">
        <v>280</v>
      </c>
      <c r="C108" s="26"/>
      <c r="D108" s="26" t="s">
        <v>104</v>
      </c>
      <c r="E108" s="26" t="s">
        <v>104</v>
      </c>
      <c r="F108" s="26" t="s">
        <v>104</v>
      </c>
      <c r="G108" s="26" t="s">
        <v>231</v>
      </c>
      <c r="H108" s="10" t="str">
        <f aca="false">IF(AND(EXACT(D108,E108),EXACT(E108,F108),EXACT(F108,G108)),"Same","DIFF")</f>
        <v>DIFF</v>
      </c>
    </row>
    <row r="109" customFormat="false" ht="15" hidden="false" customHeight="false" outlineLevel="0" collapsed="false">
      <c r="A109" s="26" t="s">
        <v>138</v>
      </c>
      <c r="B109" s="26" t="s">
        <v>281</v>
      </c>
      <c r="C109" s="26"/>
      <c r="D109" s="26" t="s">
        <v>104</v>
      </c>
      <c r="E109" s="26" t="s">
        <v>104</v>
      </c>
      <c r="F109" s="26" t="s">
        <v>104</v>
      </c>
      <c r="G109" s="26" t="s">
        <v>240</v>
      </c>
      <c r="H109" s="10" t="str">
        <f aca="false">IF(AND(EXACT(D109,E109),EXACT(E109,F109),EXACT(F109,G109)),"Same","DIFF")</f>
        <v>DIFF</v>
      </c>
    </row>
    <row r="110" customFormat="false" ht="15" hidden="false" customHeight="false" outlineLevel="0" collapsed="false">
      <c r="A110" s="26" t="s">
        <v>138</v>
      </c>
      <c r="B110" s="26" t="s">
        <v>282</v>
      </c>
      <c r="C110" s="26"/>
      <c r="D110" s="26" t="s">
        <v>104</v>
      </c>
      <c r="E110" s="26" t="s">
        <v>104</v>
      </c>
      <c r="F110" s="26" t="s">
        <v>104</v>
      </c>
      <c r="G110" s="26" t="s">
        <v>283</v>
      </c>
      <c r="H110" s="10" t="str">
        <f aca="false">IF(AND(EXACT(D110,E110),EXACT(E110,F110),EXACT(F110,G110)),"Same","DIFF")</f>
        <v>DIFF</v>
      </c>
    </row>
    <row r="111" customFormat="false" ht="15" hidden="false" customHeight="false" outlineLevel="0" collapsed="false">
      <c r="A111" s="26" t="s">
        <v>138</v>
      </c>
      <c r="B111" s="26" t="s">
        <v>284</v>
      </c>
      <c r="C111" s="26"/>
      <c r="D111" s="26" t="s">
        <v>104</v>
      </c>
      <c r="E111" s="26" t="s">
        <v>104</v>
      </c>
      <c r="F111" s="26" t="s">
        <v>104</v>
      </c>
      <c r="G111" s="26" t="s">
        <v>238</v>
      </c>
      <c r="H111" s="10" t="str">
        <f aca="false">IF(AND(EXACT(D111,E111),EXACT(E111,F111),EXACT(F111,G111)),"Same","DIFF")</f>
        <v>DIFF</v>
      </c>
    </row>
    <row r="112" customFormat="false" ht="15" hidden="false" customHeight="false" outlineLevel="0" collapsed="false">
      <c r="A112" s="26" t="s">
        <v>138</v>
      </c>
      <c r="B112" s="26" t="s">
        <v>285</v>
      </c>
      <c r="C112" s="26"/>
      <c r="D112" s="26" t="s">
        <v>104</v>
      </c>
      <c r="E112" s="26" t="s">
        <v>104</v>
      </c>
      <c r="F112" s="26" t="s">
        <v>104</v>
      </c>
      <c r="G112" s="26" t="s">
        <v>286</v>
      </c>
      <c r="H112" s="10" t="str">
        <f aca="false">IF(AND(EXACT(D112,E112),EXACT(E112,F112),EXACT(F112,G112)),"Same","DIFF")</f>
        <v>DIFF</v>
      </c>
    </row>
  </sheetData>
  <autoFilter ref="A1:H112"/>
  <conditionalFormatting sqref="E2:G112">
    <cfRule type="expression" priority="2" aboveAverage="0" equalAverage="0" bottom="0" percent="0" rank="0" text="" dxfId="3">
      <formula>NOT(EXACT(E2,$D2))</formula>
    </cfRule>
  </conditionalFormatting>
  <conditionalFormatting sqref="H2:H112">
    <cfRule type="expression" priority="3" aboveAverage="0" equalAverage="0" bottom="0" percent="0" rank="0" text="" dxfId="11">
      <formula>$H2="DIFF"</formula>
    </cfRule>
  </conditionalFormatting>
  <conditionalFormatting sqref="D2:G112">
    <cfRule type="expression" priority="4" aboveAverage="0" equalAverage="0" bottom="0" percent="0" rank="0" text="" dxfId="12">
      <formula>OR(D2="(absent)",D2="(null)")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26"/>
    <col collapsed="false" customWidth="true" hidden="false" outlineLevel="0" max="7" min="4" style="0" width="15"/>
    <col collapsed="false" customWidth="true" hidden="false" outlineLevel="0" max="8" min="8" style="0" width="10"/>
  </cols>
  <sheetData>
    <row r="1" customFormat="false" ht="30" hidden="false" customHeight="true" outlineLevel="0" collapsed="false">
      <c r="A1" s="20" t="s">
        <v>311</v>
      </c>
      <c r="B1" s="20" t="s">
        <v>312</v>
      </c>
      <c r="C1" s="20" t="s">
        <v>313</v>
      </c>
      <c r="D1" s="20" t="s">
        <v>314</v>
      </c>
      <c r="E1" s="20" t="s">
        <v>315</v>
      </c>
      <c r="F1" s="20" t="s">
        <v>316</v>
      </c>
      <c r="G1" s="20" t="s">
        <v>317</v>
      </c>
      <c r="H1" s="20" t="s">
        <v>77</v>
      </c>
    </row>
    <row r="2" customFormat="false" ht="15" hidden="false" customHeight="false" outlineLevel="0" collapsed="false">
      <c r="A2" s="26" t="s">
        <v>318</v>
      </c>
      <c r="B2" s="26" t="s">
        <v>319</v>
      </c>
      <c r="C2" s="26"/>
      <c r="D2" s="26" t="s">
        <v>104</v>
      </c>
      <c r="E2" s="26" t="s">
        <v>320</v>
      </c>
      <c r="F2" s="26" t="s">
        <v>320</v>
      </c>
      <c r="G2" s="26" t="s">
        <v>320</v>
      </c>
      <c r="H2" s="10" t="str">
        <f aca="false">IF(AND(EXACT(D2,E2),EXACT(E2,F2),EXACT(F2,G2)),"Same","DIFF")</f>
        <v>DIFF</v>
      </c>
    </row>
    <row r="3" customFormat="false" ht="15" hidden="false" customHeight="false" outlineLevel="0" collapsed="false">
      <c r="A3" s="26" t="s">
        <v>318</v>
      </c>
      <c r="B3" s="26" t="s">
        <v>321</v>
      </c>
      <c r="C3" s="26"/>
      <c r="D3" s="26" t="s">
        <v>322</v>
      </c>
      <c r="E3" s="26" t="s">
        <v>322</v>
      </c>
      <c r="F3" s="26" t="s">
        <v>322</v>
      </c>
      <c r="G3" s="26" t="s">
        <v>322</v>
      </c>
      <c r="H3" s="10" t="str">
        <f aca="false">IF(AND(EXACT(D3,E3),EXACT(E3,F3),EXACT(F3,G3)),"Same","DIFF")</f>
        <v>Same</v>
      </c>
    </row>
    <row r="4" customFormat="false" ht="15" hidden="false" customHeight="false" outlineLevel="0" collapsed="false">
      <c r="A4" s="26" t="s">
        <v>318</v>
      </c>
      <c r="B4" s="26" t="s">
        <v>318</v>
      </c>
      <c r="C4" s="26"/>
      <c r="D4" s="26" t="s">
        <v>322</v>
      </c>
      <c r="E4" s="26" t="s">
        <v>322</v>
      </c>
      <c r="F4" s="26" t="s">
        <v>322</v>
      </c>
      <c r="G4" s="26" t="s">
        <v>322</v>
      </c>
      <c r="H4" s="10" t="str">
        <f aca="false">IF(AND(EXACT(D4,E4),EXACT(E4,F4),EXACT(F4,G4)),"Same","DIFF")</f>
        <v>Same</v>
      </c>
    </row>
    <row r="5" customFormat="false" ht="15" hidden="false" customHeight="false" outlineLevel="0" collapsed="false">
      <c r="A5" s="26" t="s">
        <v>318</v>
      </c>
      <c r="B5" s="26" t="s">
        <v>323</v>
      </c>
      <c r="C5" s="26"/>
      <c r="D5" s="26" t="s">
        <v>104</v>
      </c>
      <c r="E5" s="26" t="s">
        <v>320</v>
      </c>
      <c r="F5" s="26" t="s">
        <v>320</v>
      </c>
      <c r="G5" s="26" t="s">
        <v>320</v>
      </c>
      <c r="H5" s="10" t="str">
        <f aca="false">IF(AND(EXACT(D5,E5),EXACT(E5,F5),EXACT(F5,G5)),"Same","DIFF")</f>
        <v>DIFF</v>
      </c>
    </row>
    <row r="6" customFormat="false" ht="15" hidden="false" customHeight="false" outlineLevel="0" collapsed="false">
      <c r="A6" s="26" t="s">
        <v>318</v>
      </c>
      <c r="B6" s="26" t="s">
        <v>324</v>
      </c>
      <c r="C6" s="26"/>
      <c r="D6" s="26" t="s">
        <v>322</v>
      </c>
      <c r="E6" s="26" t="s">
        <v>322</v>
      </c>
      <c r="F6" s="26" t="s">
        <v>322</v>
      </c>
      <c r="G6" s="26" t="s">
        <v>322</v>
      </c>
      <c r="H6" s="10" t="str">
        <f aca="false">IF(AND(EXACT(D6,E6),EXACT(E6,F6),EXACT(F6,G6)),"Same","DIFF")</f>
        <v>Same</v>
      </c>
    </row>
    <row r="7" customFormat="false" ht="15" hidden="false" customHeight="false" outlineLevel="0" collapsed="false">
      <c r="A7" s="26" t="s">
        <v>318</v>
      </c>
      <c r="B7" s="26" t="s">
        <v>325</v>
      </c>
      <c r="C7" s="26"/>
      <c r="D7" s="26" t="s">
        <v>322</v>
      </c>
      <c r="E7" s="26" t="s">
        <v>322</v>
      </c>
      <c r="F7" s="26" t="s">
        <v>322</v>
      </c>
      <c r="G7" s="26" t="s">
        <v>322</v>
      </c>
      <c r="H7" s="10" t="str">
        <f aca="false">IF(AND(EXACT(D7,E7),EXACT(E7,F7),EXACT(F7,G7)),"Same","DIFF")</f>
        <v>Same</v>
      </c>
    </row>
    <row r="8" customFormat="false" ht="15" hidden="false" customHeight="false" outlineLevel="0" collapsed="false">
      <c r="A8" s="26" t="s">
        <v>318</v>
      </c>
      <c r="B8" s="26" t="s">
        <v>326</v>
      </c>
      <c r="C8" s="26"/>
      <c r="D8" s="26" t="s">
        <v>104</v>
      </c>
      <c r="E8" s="26" t="s">
        <v>320</v>
      </c>
      <c r="F8" s="26" t="s">
        <v>320</v>
      </c>
      <c r="G8" s="26" t="s">
        <v>320</v>
      </c>
      <c r="H8" s="10" t="str">
        <f aca="false">IF(AND(EXACT(D8,E8),EXACT(E8,F8),EXACT(F8,G8)),"Same","DIFF")</f>
        <v>DIFF</v>
      </c>
    </row>
    <row r="9" customFormat="false" ht="15" hidden="false" customHeight="false" outlineLevel="0" collapsed="false">
      <c r="A9" s="26" t="s">
        <v>318</v>
      </c>
      <c r="B9" s="26" t="s">
        <v>327</v>
      </c>
      <c r="C9" s="26"/>
      <c r="D9" s="26" t="s">
        <v>322</v>
      </c>
      <c r="E9" s="26" t="s">
        <v>322</v>
      </c>
      <c r="F9" s="26" t="s">
        <v>322</v>
      </c>
      <c r="G9" s="26" t="s">
        <v>322</v>
      </c>
      <c r="H9" s="10" t="str">
        <f aca="false">IF(AND(EXACT(D9,E9),EXACT(E9,F9),EXACT(F9,G9)),"Same","DIFF")</f>
        <v>Same</v>
      </c>
    </row>
    <row r="10" customFormat="false" ht="15" hidden="false" customHeight="false" outlineLevel="0" collapsed="false">
      <c r="A10" s="26" t="s">
        <v>318</v>
      </c>
      <c r="B10" s="26" t="s">
        <v>328</v>
      </c>
      <c r="C10" s="26"/>
      <c r="D10" s="26" t="s">
        <v>322</v>
      </c>
      <c r="E10" s="26" t="s">
        <v>322</v>
      </c>
      <c r="F10" s="26" t="s">
        <v>322</v>
      </c>
      <c r="G10" s="26" t="s">
        <v>322</v>
      </c>
      <c r="H10" s="10" t="str">
        <f aca="false">IF(AND(EXACT(D10,E10),EXACT(E10,F10),EXACT(F10,G10)),"Same","DIFF")</f>
        <v>Same</v>
      </c>
    </row>
    <row r="11" customFormat="false" ht="15" hidden="false" customHeight="false" outlineLevel="0" collapsed="false">
      <c r="A11" s="26" t="s">
        <v>318</v>
      </c>
      <c r="B11" s="26" t="s">
        <v>329</v>
      </c>
      <c r="C11" s="26"/>
      <c r="D11" s="26" t="s">
        <v>322</v>
      </c>
      <c r="E11" s="26" t="s">
        <v>322</v>
      </c>
      <c r="F11" s="26" t="s">
        <v>322</v>
      </c>
      <c r="G11" s="26" t="s">
        <v>322</v>
      </c>
      <c r="H11" s="10" t="str">
        <f aca="false">IF(AND(EXACT(D11,E11),EXACT(E11,F11),EXACT(F11,G11)),"Same","DIFF")</f>
        <v>Same</v>
      </c>
    </row>
    <row r="12" customFormat="false" ht="15" hidden="false" customHeight="false" outlineLevel="0" collapsed="false">
      <c r="A12" s="26" t="s">
        <v>318</v>
      </c>
      <c r="B12" s="26" t="s">
        <v>330</v>
      </c>
      <c r="C12" s="26"/>
      <c r="D12" s="26" t="s">
        <v>322</v>
      </c>
      <c r="E12" s="26" t="s">
        <v>322</v>
      </c>
      <c r="F12" s="26" t="s">
        <v>322</v>
      </c>
      <c r="G12" s="26" t="s">
        <v>322</v>
      </c>
      <c r="H12" s="10" t="str">
        <f aca="false">IF(AND(EXACT(D12,E12),EXACT(E12,F12),EXACT(F12,G12)),"Same","DIFF")</f>
        <v>Same</v>
      </c>
    </row>
    <row r="13" customFormat="false" ht="15" hidden="false" customHeight="false" outlineLevel="0" collapsed="false">
      <c r="A13" s="26" t="s">
        <v>318</v>
      </c>
      <c r="B13" s="26" t="s">
        <v>331</v>
      </c>
      <c r="C13" s="26"/>
      <c r="D13" s="26" t="s">
        <v>322</v>
      </c>
      <c r="E13" s="26" t="s">
        <v>322</v>
      </c>
      <c r="F13" s="26" t="s">
        <v>322</v>
      </c>
      <c r="G13" s="26" t="s">
        <v>322</v>
      </c>
      <c r="H13" s="10" t="str">
        <f aca="false">IF(AND(EXACT(D13,E13),EXACT(E13,F13),EXACT(F13,G13)),"Same","DIFF")</f>
        <v>Same</v>
      </c>
    </row>
    <row r="14" customFormat="false" ht="15" hidden="false" customHeight="false" outlineLevel="0" collapsed="false">
      <c r="A14" s="26" t="s">
        <v>318</v>
      </c>
      <c r="B14" s="26" t="s">
        <v>332</v>
      </c>
      <c r="C14" s="26"/>
      <c r="D14" s="26" t="s">
        <v>104</v>
      </c>
      <c r="E14" s="26" t="s">
        <v>320</v>
      </c>
      <c r="F14" s="26" t="s">
        <v>320</v>
      </c>
      <c r="G14" s="26" t="s">
        <v>320</v>
      </c>
      <c r="H14" s="10" t="str">
        <f aca="false">IF(AND(EXACT(D14,E14),EXACT(E14,F14),EXACT(F14,G14)),"Same","DIFF")</f>
        <v>DIFF</v>
      </c>
    </row>
    <row r="15" customFormat="false" ht="15" hidden="false" customHeight="false" outlineLevel="0" collapsed="false">
      <c r="A15" s="26" t="s">
        <v>318</v>
      </c>
      <c r="B15" s="26" t="s">
        <v>333</v>
      </c>
      <c r="C15" s="26"/>
      <c r="D15" s="26" t="s">
        <v>104</v>
      </c>
      <c r="E15" s="26" t="s">
        <v>320</v>
      </c>
      <c r="F15" s="26" t="s">
        <v>320</v>
      </c>
      <c r="G15" s="26" t="s">
        <v>320</v>
      </c>
      <c r="H15" s="10" t="str">
        <f aca="false">IF(AND(EXACT(D15,E15),EXACT(E15,F15),EXACT(F15,G15)),"Same","DIFF")</f>
        <v>DIFF</v>
      </c>
    </row>
    <row r="16" customFormat="false" ht="15" hidden="false" customHeight="false" outlineLevel="0" collapsed="false">
      <c r="A16" s="26" t="s">
        <v>318</v>
      </c>
      <c r="B16" s="26" t="s">
        <v>334</v>
      </c>
      <c r="C16" s="26"/>
      <c r="D16" s="26" t="s">
        <v>104</v>
      </c>
      <c r="E16" s="26" t="s">
        <v>320</v>
      </c>
      <c r="F16" s="26" t="s">
        <v>320</v>
      </c>
      <c r="G16" s="26" t="s">
        <v>320</v>
      </c>
      <c r="H16" s="10" t="str">
        <f aca="false">IF(AND(EXACT(D16,E16),EXACT(E16,F16),EXACT(F16,G16)),"Same","DIFF")</f>
        <v>DIFF</v>
      </c>
    </row>
    <row r="17" customFormat="false" ht="15" hidden="false" customHeight="false" outlineLevel="0" collapsed="false">
      <c r="A17" s="26" t="s">
        <v>318</v>
      </c>
      <c r="B17" s="26" t="s">
        <v>335</v>
      </c>
      <c r="C17" s="26"/>
      <c r="D17" s="26" t="s">
        <v>104</v>
      </c>
      <c r="E17" s="26" t="s">
        <v>320</v>
      </c>
      <c r="F17" s="26" t="s">
        <v>320</v>
      </c>
      <c r="G17" s="26" t="s">
        <v>320</v>
      </c>
      <c r="H17" s="10" t="str">
        <f aca="false">IF(AND(EXACT(D17,E17),EXACT(E17,F17),EXACT(F17,G17)),"Same","DIFF")</f>
        <v>DIFF</v>
      </c>
    </row>
    <row r="18" customFormat="false" ht="15" hidden="false" customHeight="false" outlineLevel="0" collapsed="false">
      <c r="A18" s="26" t="s">
        <v>318</v>
      </c>
      <c r="B18" s="26" t="s">
        <v>336</v>
      </c>
      <c r="C18" s="26"/>
      <c r="D18" s="26" t="s">
        <v>104</v>
      </c>
      <c r="E18" s="26" t="s">
        <v>320</v>
      </c>
      <c r="F18" s="26" t="s">
        <v>320</v>
      </c>
      <c r="G18" s="26" t="s">
        <v>320</v>
      </c>
      <c r="H18" s="10" t="str">
        <f aca="false">IF(AND(EXACT(D18,E18),EXACT(E18,F18),EXACT(F18,G18)),"Same","DIFF")</f>
        <v>DIFF</v>
      </c>
    </row>
    <row r="19" customFormat="false" ht="15" hidden="false" customHeight="false" outlineLevel="0" collapsed="false">
      <c r="A19" s="26" t="s">
        <v>318</v>
      </c>
      <c r="B19" s="26" t="s">
        <v>337</v>
      </c>
      <c r="C19" s="26"/>
      <c r="D19" s="26" t="s">
        <v>322</v>
      </c>
      <c r="E19" s="26" t="s">
        <v>322</v>
      </c>
      <c r="F19" s="26" t="s">
        <v>322</v>
      </c>
      <c r="G19" s="26" t="s">
        <v>322</v>
      </c>
      <c r="H19" s="10" t="str">
        <f aca="false">IF(AND(EXACT(D19,E19),EXACT(E19,F19),EXACT(F19,G19)),"Same","DIFF")</f>
        <v>Same</v>
      </c>
    </row>
    <row r="20" customFormat="false" ht="15" hidden="false" customHeight="false" outlineLevel="0" collapsed="false">
      <c r="A20" s="26" t="s">
        <v>318</v>
      </c>
      <c r="B20" s="26" t="s">
        <v>338</v>
      </c>
      <c r="C20" s="26"/>
      <c r="D20" s="26" t="s">
        <v>104</v>
      </c>
      <c r="E20" s="26" t="s">
        <v>320</v>
      </c>
      <c r="F20" s="26" t="s">
        <v>320</v>
      </c>
      <c r="G20" s="26" t="s">
        <v>320</v>
      </c>
      <c r="H20" s="10" t="str">
        <f aca="false">IF(AND(EXACT(D20,E20),EXACT(E20,F20),EXACT(F20,G20)),"Same","DIFF")</f>
        <v>DIFF</v>
      </c>
    </row>
    <row r="21" customFormat="false" ht="15" hidden="false" customHeight="false" outlineLevel="0" collapsed="false">
      <c r="A21" s="26" t="s">
        <v>318</v>
      </c>
      <c r="B21" s="26" t="s">
        <v>339</v>
      </c>
      <c r="C21" s="26"/>
      <c r="D21" s="26" t="s">
        <v>104</v>
      </c>
      <c r="E21" s="26" t="s">
        <v>320</v>
      </c>
      <c r="F21" s="26" t="s">
        <v>320</v>
      </c>
      <c r="G21" s="26" t="s">
        <v>320</v>
      </c>
      <c r="H21" s="10" t="str">
        <f aca="false">IF(AND(EXACT(D21,E21),EXACT(E21,F21),EXACT(F21,G21)),"Same","DIFF")</f>
        <v>DIFF</v>
      </c>
    </row>
    <row r="22" customFormat="false" ht="15" hidden="false" customHeight="false" outlineLevel="0" collapsed="false">
      <c r="A22" s="26" t="s">
        <v>318</v>
      </c>
      <c r="B22" s="26" t="s">
        <v>340</v>
      </c>
      <c r="C22" s="26"/>
      <c r="D22" s="26" t="s">
        <v>104</v>
      </c>
      <c r="E22" s="26" t="s">
        <v>320</v>
      </c>
      <c r="F22" s="26" t="s">
        <v>320</v>
      </c>
      <c r="G22" s="26" t="s">
        <v>320</v>
      </c>
      <c r="H22" s="10" t="str">
        <f aca="false">IF(AND(EXACT(D22,E22),EXACT(E22,F22),EXACT(F22,G22)),"Same","DIFF")</f>
        <v>DIFF</v>
      </c>
    </row>
    <row r="23" customFormat="false" ht="15" hidden="false" customHeight="false" outlineLevel="0" collapsed="false">
      <c r="A23" s="26" t="s">
        <v>318</v>
      </c>
      <c r="B23" s="26" t="s">
        <v>341</v>
      </c>
      <c r="C23" s="26"/>
      <c r="D23" s="26" t="s">
        <v>104</v>
      </c>
      <c r="E23" s="26" t="s">
        <v>320</v>
      </c>
      <c r="F23" s="26" t="s">
        <v>320</v>
      </c>
      <c r="G23" s="26" t="s">
        <v>320</v>
      </c>
      <c r="H23" s="10" t="str">
        <f aca="false">IF(AND(EXACT(D23,E23),EXACT(E23,F23),EXACT(F23,G23)),"Same","DIFF")</f>
        <v>DIFF</v>
      </c>
    </row>
    <row r="24" customFormat="false" ht="15" hidden="false" customHeight="false" outlineLevel="0" collapsed="false">
      <c r="A24" s="26" t="s">
        <v>318</v>
      </c>
      <c r="B24" s="26" t="s">
        <v>342</v>
      </c>
      <c r="C24" s="26"/>
      <c r="D24" s="26" t="s">
        <v>104</v>
      </c>
      <c r="E24" s="26" t="s">
        <v>320</v>
      </c>
      <c r="F24" s="26" t="s">
        <v>320</v>
      </c>
      <c r="G24" s="26" t="s">
        <v>320</v>
      </c>
      <c r="H24" s="10" t="str">
        <f aca="false">IF(AND(EXACT(D24,E24),EXACT(E24,F24),EXACT(F24,G24)),"Same","DIFF")</f>
        <v>DIFF</v>
      </c>
    </row>
    <row r="25" customFormat="false" ht="15" hidden="false" customHeight="false" outlineLevel="0" collapsed="false">
      <c r="A25" s="26" t="s">
        <v>318</v>
      </c>
      <c r="B25" s="26" t="s">
        <v>343</v>
      </c>
      <c r="C25" s="26"/>
      <c r="D25" s="26" t="s">
        <v>104</v>
      </c>
      <c r="E25" s="26" t="s">
        <v>320</v>
      </c>
      <c r="F25" s="26" t="s">
        <v>320</v>
      </c>
      <c r="G25" s="26" t="s">
        <v>320</v>
      </c>
      <c r="H25" s="10" t="str">
        <f aca="false">IF(AND(EXACT(D25,E25),EXACT(E25,F25),EXACT(F25,G25)),"Same","DIFF")</f>
        <v>DIFF</v>
      </c>
    </row>
    <row r="26" customFormat="false" ht="15" hidden="false" customHeight="false" outlineLevel="0" collapsed="false">
      <c r="A26" s="26" t="s">
        <v>318</v>
      </c>
      <c r="B26" s="26" t="s">
        <v>112</v>
      </c>
      <c r="C26" s="26"/>
      <c r="D26" s="26" t="s">
        <v>104</v>
      </c>
      <c r="E26" s="26" t="s">
        <v>320</v>
      </c>
      <c r="F26" s="26" t="s">
        <v>320</v>
      </c>
      <c r="G26" s="26" t="s">
        <v>320</v>
      </c>
      <c r="H26" s="10" t="str">
        <f aca="false">IF(AND(EXACT(D26,E26),EXACT(E26,F26),EXACT(F26,G26)),"Same","DIFF")</f>
        <v>DIFF</v>
      </c>
    </row>
    <row r="27" customFormat="false" ht="15" hidden="false" customHeight="false" outlineLevel="0" collapsed="false">
      <c r="A27" s="26" t="s">
        <v>318</v>
      </c>
      <c r="B27" s="26" t="s">
        <v>344</v>
      </c>
      <c r="C27" s="26"/>
      <c r="D27" s="26" t="s">
        <v>322</v>
      </c>
      <c r="E27" s="26" t="s">
        <v>322</v>
      </c>
      <c r="F27" s="26" t="s">
        <v>322</v>
      </c>
      <c r="G27" s="26" t="s">
        <v>322</v>
      </c>
      <c r="H27" s="10" t="str">
        <f aca="false">IF(AND(EXACT(D27,E27),EXACT(E27,F27),EXACT(F27,G27)),"Same","DIFF")</f>
        <v>Same</v>
      </c>
    </row>
    <row r="28" customFormat="false" ht="15" hidden="false" customHeight="false" outlineLevel="0" collapsed="false">
      <c r="A28" s="26" t="s">
        <v>318</v>
      </c>
      <c r="B28" s="26" t="s">
        <v>345</v>
      </c>
      <c r="C28" s="26"/>
      <c r="D28" s="26" t="s">
        <v>104</v>
      </c>
      <c r="E28" s="26" t="s">
        <v>320</v>
      </c>
      <c r="F28" s="26" t="s">
        <v>320</v>
      </c>
      <c r="G28" s="26" t="s">
        <v>320</v>
      </c>
      <c r="H28" s="10" t="str">
        <f aca="false">IF(AND(EXACT(D28,E28),EXACT(E28,F28),EXACT(F28,G28)),"Same","DIFF")</f>
        <v>DIFF</v>
      </c>
    </row>
    <row r="29" customFormat="false" ht="15" hidden="false" customHeight="false" outlineLevel="0" collapsed="false">
      <c r="A29" s="26" t="s">
        <v>318</v>
      </c>
      <c r="B29" s="26" t="s">
        <v>346</v>
      </c>
      <c r="C29" s="26"/>
      <c r="D29" s="26" t="s">
        <v>104</v>
      </c>
      <c r="E29" s="26" t="s">
        <v>320</v>
      </c>
      <c r="F29" s="26" t="s">
        <v>320</v>
      </c>
      <c r="G29" s="26" t="s">
        <v>320</v>
      </c>
      <c r="H29" s="10" t="str">
        <f aca="false">IF(AND(EXACT(D29,E29),EXACT(E29,F29),EXACT(F29,G29)),"Same","DIFF")</f>
        <v>DIFF</v>
      </c>
    </row>
    <row r="30" customFormat="false" ht="15" hidden="false" customHeight="false" outlineLevel="0" collapsed="false">
      <c r="A30" s="26" t="s">
        <v>318</v>
      </c>
      <c r="B30" s="26" t="s">
        <v>347</v>
      </c>
      <c r="C30" s="26"/>
      <c r="D30" s="26" t="s">
        <v>104</v>
      </c>
      <c r="E30" s="26" t="s">
        <v>320</v>
      </c>
      <c r="F30" s="26" t="s">
        <v>320</v>
      </c>
      <c r="G30" s="26" t="s">
        <v>320</v>
      </c>
      <c r="H30" s="10" t="str">
        <f aca="false">IF(AND(EXACT(D30,E30),EXACT(E30,F30),EXACT(F30,G30)),"Same","DIFF")</f>
        <v>DIFF</v>
      </c>
    </row>
    <row r="31" customFormat="false" ht="15" hidden="false" customHeight="false" outlineLevel="0" collapsed="false">
      <c r="A31" s="26" t="s">
        <v>318</v>
      </c>
      <c r="B31" s="26" t="s">
        <v>348</v>
      </c>
      <c r="C31" s="26"/>
      <c r="D31" s="26" t="s">
        <v>322</v>
      </c>
      <c r="E31" s="26" t="s">
        <v>322</v>
      </c>
      <c r="F31" s="26" t="s">
        <v>322</v>
      </c>
      <c r="G31" s="26" t="s">
        <v>322</v>
      </c>
      <c r="H31" s="10" t="str">
        <f aca="false">IF(AND(EXACT(D31,E31),EXACT(E31,F31),EXACT(F31,G31)),"Same","DIFF")</f>
        <v>Same</v>
      </c>
    </row>
    <row r="32" customFormat="false" ht="15" hidden="false" customHeight="false" outlineLevel="0" collapsed="false">
      <c r="A32" s="26" t="s">
        <v>318</v>
      </c>
      <c r="B32" s="26" t="s">
        <v>349</v>
      </c>
      <c r="C32" s="26"/>
      <c r="D32" s="26" t="s">
        <v>322</v>
      </c>
      <c r="E32" s="26" t="s">
        <v>322</v>
      </c>
      <c r="F32" s="26" t="s">
        <v>322</v>
      </c>
      <c r="G32" s="26" t="s">
        <v>322</v>
      </c>
      <c r="H32" s="10" t="str">
        <f aca="false">IF(AND(EXACT(D32,E32),EXACT(E32,F32),EXACT(F32,G32)),"Same","DIFF")</f>
        <v>Same</v>
      </c>
    </row>
    <row r="33" customFormat="false" ht="15" hidden="false" customHeight="false" outlineLevel="0" collapsed="false">
      <c r="A33" s="26" t="s">
        <v>350</v>
      </c>
      <c r="B33" s="26" t="s">
        <v>321</v>
      </c>
      <c r="C33" s="26"/>
      <c r="D33" s="26" t="s">
        <v>322</v>
      </c>
      <c r="E33" s="26" t="s">
        <v>322</v>
      </c>
      <c r="F33" s="26" t="s">
        <v>322</v>
      </c>
      <c r="G33" s="26" t="s">
        <v>322</v>
      </c>
      <c r="H33" s="10" t="str">
        <f aca="false">IF(AND(EXACT(D33,E33),EXACT(E33,F33),EXACT(F33,G33)),"Same","DIFF")</f>
        <v>Same</v>
      </c>
    </row>
    <row r="34" customFormat="false" ht="15" hidden="false" customHeight="false" outlineLevel="0" collapsed="false">
      <c r="A34" s="26" t="s">
        <v>350</v>
      </c>
      <c r="B34" s="26" t="s">
        <v>318</v>
      </c>
      <c r="C34" s="26"/>
      <c r="D34" s="26" t="s">
        <v>322</v>
      </c>
      <c r="E34" s="26" t="s">
        <v>322</v>
      </c>
      <c r="F34" s="26" t="s">
        <v>322</v>
      </c>
      <c r="G34" s="26" t="s">
        <v>322</v>
      </c>
      <c r="H34" s="10" t="str">
        <f aca="false">IF(AND(EXACT(D34,E34),EXACT(E34,F34),EXACT(F34,G34)),"Same","DIFF")</f>
        <v>Same</v>
      </c>
    </row>
    <row r="35" customFormat="false" ht="15" hidden="false" customHeight="false" outlineLevel="0" collapsed="false">
      <c r="A35" s="26" t="s">
        <v>350</v>
      </c>
      <c r="B35" s="26" t="s">
        <v>325</v>
      </c>
      <c r="C35" s="26"/>
      <c r="D35" s="26" t="s">
        <v>322</v>
      </c>
      <c r="E35" s="26" t="s">
        <v>322</v>
      </c>
      <c r="F35" s="26" t="s">
        <v>322</v>
      </c>
      <c r="G35" s="26" t="s">
        <v>322</v>
      </c>
      <c r="H35" s="10" t="str">
        <f aca="false">IF(AND(EXACT(D35,E35),EXACT(E35,F35),EXACT(F35,G35)),"Same","DIFF")</f>
        <v>Same</v>
      </c>
    </row>
    <row r="36" customFormat="false" ht="15" hidden="false" customHeight="false" outlineLevel="0" collapsed="false">
      <c r="A36" s="26" t="s">
        <v>350</v>
      </c>
      <c r="B36" s="26" t="s">
        <v>331</v>
      </c>
      <c r="C36" s="26"/>
      <c r="D36" s="26" t="s">
        <v>322</v>
      </c>
      <c r="E36" s="26" t="s">
        <v>322</v>
      </c>
      <c r="F36" s="26" t="s">
        <v>322</v>
      </c>
      <c r="G36" s="26" t="s">
        <v>322</v>
      </c>
      <c r="H36" s="10" t="str">
        <f aca="false">IF(AND(EXACT(D36,E36),EXACT(E36,F36),EXACT(F36,G36)),"Same","DIFF")</f>
        <v>Same</v>
      </c>
    </row>
    <row r="37" customFormat="false" ht="15" hidden="false" customHeight="false" outlineLevel="0" collapsed="false">
      <c r="A37" s="26" t="s">
        <v>350</v>
      </c>
      <c r="B37" s="26" t="s">
        <v>337</v>
      </c>
      <c r="C37" s="26"/>
      <c r="D37" s="26" t="s">
        <v>322</v>
      </c>
      <c r="E37" s="26" t="s">
        <v>322</v>
      </c>
      <c r="F37" s="26" t="s">
        <v>322</v>
      </c>
      <c r="G37" s="26" t="s">
        <v>322</v>
      </c>
      <c r="H37" s="10" t="str">
        <f aca="false">IF(AND(EXACT(D37,E37),EXACT(E37,F37),EXACT(F37,G37)),"Same","DIFF")</f>
        <v>Same</v>
      </c>
    </row>
    <row r="38" customFormat="false" ht="15" hidden="false" customHeight="false" outlineLevel="0" collapsed="false">
      <c r="A38" s="26" t="s">
        <v>350</v>
      </c>
      <c r="B38" s="26" t="s">
        <v>344</v>
      </c>
      <c r="C38" s="26"/>
      <c r="D38" s="26" t="s">
        <v>322</v>
      </c>
      <c r="E38" s="26" t="s">
        <v>322</v>
      </c>
      <c r="F38" s="26" t="s">
        <v>322</v>
      </c>
      <c r="G38" s="26" t="s">
        <v>322</v>
      </c>
      <c r="H38" s="10" t="str">
        <f aca="false">IF(AND(EXACT(D38,E38),EXACT(E38,F38),EXACT(F38,G38)),"Same","DIFF")</f>
        <v>Same</v>
      </c>
    </row>
    <row r="39" customFormat="false" ht="15" hidden="false" customHeight="false" outlineLevel="0" collapsed="false">
      <c r="A39" s="26" t="s">
        <v>350</v>
      </c>
      <c r="B39" s="26" t="s">
        <v>348</v>
      </c>
      <c r="C39" s="26"/>
      <c r="D39" s="26" t="s">
        <v>322</v>
      </c>
      <c r="E39" s="26" t="s">
        <v>322</v>
      </c>
      <c r="F39" s="26" t="s">
        <v>322</v>
      </c>
      <c r="G39" s="26" t="s">
        <v>322</v>
      </c>
      <c r="H39" s="10" t="str">
        <f aca="false">IF(AND(EXACT(D39,E39),EXACT(E39,F39),EXACT(F39,G39)),"Same","DIFF")</f>
        <v>Same</v>
      </c>
    </row>
    <row r="40" customFormat="false" ht="15" hidden="false" customHeight="false" outlineLevel="0" collapsed="false">
      <c r="A40" s="26" t="s">
        <v>351</v>
      </c>
      <c r="B40" s="26" t="s">
        <v>112</v>
      </c>
      <c r="C40" s="26"/>
      <c r="D40" s="26" t="s">
        <v>104</v>
      </c>
      <c r="E40" s="26" t="s">
        <v>320</v>
      </c>
      <c r="F40" s="26" t="s">
        <v>320</v>
      </c>
      <c r="G40" s="26" t="s">
        <v>320</v>
      </c>
      <c r="H40" s="10" t="str">
        <f aca="false">IF(AND(EXACT(D40,E40),EXACT(E40,F40),EXACT(F40,G40)),"Same","DIFF")</f>
        <v>DIFF</v>
      </c>
    </row>
    <row r="41" customFormat="false" ht="15" hidden="false" customHeight="false" outlineLevel="0" collapsed="false">
      <c r="A41" s="26" t="s">
        <v>352</v>
      </c>
      <c r="B41" s="26" t="s">
        <v>353</v>
      </c>
      <c r="C41" s="26"/>
      <c r="D41" s="26" t="s">
        <v>104</v>
      </c>
      <c r="E41" s="26" t="s">
        <v>104</v>
      </c>
      <c r="F41" s="26" t="s">
        <v>320</v>
      </c>
      <c r="G41" s="26" t="s">
        <v>104</v>
      </c>
      <c r="H41" s="10" t="str">
        <f aca="false">IF(AND(EXACT(D41,E41),EXACT(E41,F41),EXACT(F41,G41)),"Same","DIFF")</f>
        <v>DIFF</v>
      </c>
    </row>
    <row r="42" customFormat="false" ht="15" hidden="false" customHeight="false" outlineLevel="0" collapsed="false">
      <c r="A42" s="26" t="s">
        <v>354</v>
      </c>
      <c r="B42" s="26" t="s">
        <v>355</v>
      </c>
      <c r="C42" s="26"/>
      <c r="D42" s="26" t="s">
        <v>356</v>
      </c>
      <c r="E42" s="26" t="s">
        <v>356</v>
      </c>
      <c r="F42" s="26" t="s">
        <v>356</v>
      </c>
      <c r="G42" s="26" t="s">
        <v>356</v>
      </c>
      <c r="H42" s="10" t="str">
        <f aca="false">IF(AND(EXACT(D42,E42),EXACT(E42,F42),EXACT(F42,G42)),"Same","DIFF")</f>
        <v>Same</v>
      </c>
    </row>
    <row r="43" customFormat="false" ht="15" hidden="false" customHeight="false" outlineLevel="0" collapsed="false">
      <c r="A43" s="26" t="s">
        <v>354</v>
      </c>
      <c r="B43" s="26" t="s">
        <v>357</v>
      </c>
      <c r="C43" s="26"/>
      <c r="D43" s="26" t="s">
        <v>104</v>
      </c>
      <c r="E43" s="26" t="s">
        <v>356</v>
      </c>
      <c r="F43" s="26" t="s">
        <v>356</v>
      </c>
      <c r="G43" s="26" t="s">
        <v>356</v>
      </c>
      <c r="H43" s="10" t="str">
        <f aca="false">IF(AND(EXACT(D43,E43),EXACT(E43,F43),EXACT(F43,G43)),"Same","DIFF")</f>
        <v>DIFF</v>
      </c>
    </row>
    <row r="44" customFormat="false" ht="15" hidden="false" customHeight="false" outlineLevel="0" collapsed="false">
      <c r="A44" s="26" t="s">
        <v>354</v>
      </c>
      <c r="B44" s="26" t="s">
        <v>358</v>
      </c>
      <c r="C44" s="26"/>
      <c r="D44" s="26" t="s">
        <v>356</v>
      </c>
      <c r="E44" s="26" t="s">
        <v>356</v>
      </c>
      <c r="F44" s="26" t="s">
        <v>356</v>
      </c>
      <c r="G44" s="26" t="s">
        <v>356</v>
      </c>
      <c r="H44" s="10" t="str">
        <f aca="false">IF(AND(EXACT(D44,E44),EXACT(E44,F44),EXACT(F44,G44)),"Same","DIFF")</f>
        <v>Same</v>
      </c>
    </row>
    <row r="45" customFormat="false" ht="15" hidden="false" customHeight="false" outlineLevel="0" collapsed="false">
      <c r="A45" s="26" t="s">
        <v>354</v>
      </c>
      <c r="B45" s="26" t="s">
        <v>359</v>
      </c>
      <c r="C45" s="26"/>
      <c r="D45" s="26" t="s">
        <v>104</v>
      </c>
      <c r="E45" s="26" t="s">
        <v>356</v>
      </c>
      <c r="F45" s="26" t="s">
        <v>356</v>
      </c>
      <c r="G45" s="26" t="s">
        <v>356</v>
      </c>
      <c r="H45" s="10" t="str">
        <f aca="false">IF(AND(EXACT(D45,E45),EXACT(E45,F45),EXACT(F45,G45)),"Same","DIFF")</f>
        <v>DIFF</v>
      </c>
    </row>
    <row r="46" customFormat="false" ht="15" hidden="false" customHeight="false" outlineLevel="0" collapsed="false">
      <c r="A46" s="26" t="s">
        <v>354</v>
      </c>
      <c r="B46" s="26" t="s">
        <v>360</v>
      </c>
      <c r="C46" s="26"/>
      <c r="D46" s="26" t="s">
        <v>104</v>
      </c>
      <c r="E46" s="26" t="s">
        <v>356</v>
      </c>
      <c r="F46" s="26" t="s">
        <v>356</v>
      </c>
      <c r="G46" s="26" t="s">
        <v>356</v>
      </c>
      <c r="H46" s="10" t="str">
        <f aca="false">IF(AND(EXACT(D46,E46),EXACT(E46,F46),EXACT(F46,G46)),"Same","DIFF")</f>
        <v>DIFF</v>
      </c>
    </row>
    <row r="47" customFormat="false" ht="15" hidden="false" customHeight="false" outlineLevel="0" collapsed="false">
      <c r="A47" s="26" t="s">
        <v>354</v>
      </c>
      <c r="B47" s="26" t="s">
        <v>361</v>
      </c>
      <c r="C47" s="26"/>
      <c r="D47" s="26" t="s">
        <v>104</v>
      </c>
      <c r="E47" s="26" t="s">
        <v>356</v>
      </c>
      <c r="F47" s="26" t="s">
        <v>356</v>
      </c>
      <c r="G47" s="26" t="s">
        <v>356</v>
      </c>
      <c r="H47" s="10" t="str">
        <f aca="false">IF(AND(EXACT(D47,E47),EXACT(E47,F47),EXACT(F47,G47)),"Same","DIFF")</f>
        <v>DIFF</v>
      </c>
    </row>
    <row r="48" customFormat="false" ht="15" hidden="false" customHeight="false" outlineLevel="0" collapsed="false">
      <c r="A48" s="26" t="s">
        <v>354</v>
      </c>
      <c r="B48" s="26" t="s">
        <v>112</v>
      </c>
      <c r="C48" s="26"/>
      <c r="D48" s="26" t="s">
        <v>104</v>
      </c>
      <c r="E48" s="26" t="s">
        <v>320</v>
      </c>
      <c r="F48" s="26" t="s">
        <v>320</v>
      </c>
      <c r="G48" s="26" t="s">
        <v>320</v>
      </c>
      <c r="H48" s="10" t="str">
        <f aca="false">IF(AND(EXACT(D48,E48),EXACT(E48,F48),EXACT(F48,G48)),"Same","DIFF")</f>
        <v>DIFF</v>
      </c>
    </row>
    <row r="49" customFormat="false" ht="15" hidden="false" customHeight="false" outlineLevel="0" collapsed="false">
      <c r="A49" s="26" t="s">
        <v>354</v>
      </c>
      <c r="B49" s="26" t="s">
        <v>362</v>
      </c>
      <c r="C49" s="26"/>
      <c r="D49" s="26" t="s">
        <v>356</v>
      </c>
      <c r="E49" s="26" t="s">
        <v>356</v>
      </c>
      <c r="F49" s="26" t="s">
        <v>356</v>
      </c>
      <c r="G49" s="26" t="s">
        <v>356</v>
      </c>
      <c r="H49" s="10" t="str">
        <f aca="false">IF(AND(EXACT(D49,E49),EXACT(E49,F49),EXACT(F49,G49)),"Same","DIFF")</f>
        <v>Same</v>
      </c>
    </row>
    <row r="50" customFormat="false" ht="15" hidden="false" customHeight="false" outlineLevel="0" collapsed="false">
      <c r="A50" s="26" t="s">
        <v>354</v>
      </c>
      <c r="B50" s="26" t="s">
        <v>363</v>
      </c>
      <c r="C50" s="26"/>
      <c r="D50" s="26" t="s">
        <v>356</v>
      </c>
      <c r="E50" s="26" t="s">
        <v>104</v>
      </c>
      <c r="F50" s="26" t="s">
        <v>104</v>
      </c>
      <c r="G50" s="26" t="s">
        <v>104</v>
      </c>
      <c r="H50" s="10" t="str">
        <f aca="false">IF(AND(EXACT(D50,E50),EXACT(E50,F50),EXACT(F50,G50)),"Same","DIFF")</f>
        <v>DIFF</v>
      </c>
    </row>
    <row r="51" customFormat="false" ht="15" hidden="false" customHeight="false" outlineLevel="0" collapsed="false">
      <c r="A51" s="26" t="s">
        <v>354</v>
      </c>
      <c r="B51" s="26" t="s">
        <v>364</v>
      </c>
      <c r="C51" s="26"/>
      <c r="D51" s="26" t="s">
        <v>356</v>
      </c>
      <c r="E51" s="26" t="s">
        <v>356</v>
      </c>
      <c r="F51" s="26" t="s">
        <v>356</v>
      </c>
      <c r="G51" s="26" t="s">
        <v>356</v>
      </c>
      <c r="H51" s="10" t="str">
        <f aca="false">IF(AND(EXACT(D51,E51),EXACT(E51,F51),EXACT(F51,G51)),"Same","DIFF")</f>
        <v>Same</v>
      </c>
    </row>
    <row r="52" customFormat="false" ht="15" hidden="false" customHeight="false" outlineLevel="0" collapsed="false">
      <c r="A52" s="26" t="s">
        <v>354</v>
      </c>
      <c r="B52" s="26" t="s">
        <v>348</v>
      </c>
      <c r="C52" s="26"/>
      <c r="D52" s="26" t="s">
        <v>320</v>
      </c>
      <c r="E52" s="26" t="s">
        <v>320</v>
      </c>
      <c r="F52" s="26" t="s">
        <v>320</v>
      </c>
      <c r="G52" s="26" t="s">
        <v>320</v>
      </c>
      <c r="H52" s="10" t="str">
        <f aca="false">IF(AND(EXACT(D52,E52),EXACT(E52,F52),EXACT(F52,G52)),"Same","DIFF")</f>
        <v>Same</v>
      </c>
    </row>
    <row r="53" customFormat="false" ht="15" hidden="false" customHeight="false" outlineLevel="0" collapsed="false">
      <c r="A53" s="26" t="s">
        <v>365</v>
      </c>
      <c r="B53" s="26" t="s">
        <v>327</v>
      </c>
      <c r="C53" s="26"/>
      <c r="D53" s="26" t="s">
        <v>322</v>
      </c>
      <c r="E53" s="26" t="s">
        <v>322</v>
      </c>
      <c r="F53" s="26" t="s">
        <v>322</v>
      </c>
      <c r="G53" s="26" t="s">
        <v>322</v>
      </c>
      <c r="H53" s="10" t="str">
        <f aca="false">IF(AND(EXACT(D53,E53),EXACT(E53,F53),EXACT(F53,G53)),"Same","DIFF")</f>
        <v>Same</v>
      </c>
    </row>
    <row r="54" customFormat="false" ht="15" hidden="false" customHeight="false" outlineLevel="0" collapsed="false">
      <c r="A54" s="26" t="s">
        <v>365</v>
      </c>
      <c r="B54" s="26" t="s">
        <v>328</v>
      </c>
      <c r="C54" s="26"/>
      <c r="D54" s="26" t="s">
        <v>322</v>
      </c>
      <c r="E54" s="26" t="s">
        <v>322</v>
      </c>
      <c r="F54" s="26" t="s">
        <v>322</v>
      </c>
      <c r="G54" s="26" t="s">
        <v>322</v>
      </c>
      <c r="H54" s="10" t="str">
        <f aca="false">IF(AND(EXACT(D54,E54),EXACT(E54,F54),EXACT(F54,G54)),"Same","DIFF")</f>
        <v>Same</v>
      </c>
    </row>
    <row r="55" customFormat="false" ht="15" hidden="false" customHeight="false" outlineLevel="0" collapsed="false">
      <c r="A55" s="26" t="s">
        <v>365</v>
      </c>
      <c r="B55" s="26" t="s">
        <v>329</v>
      </c>
      <c r="C55" s="26"/>
      <c r="D55" s="26" t="s">
        <v>322</v>
      </c>
      <c r="E55" s="26" t="s">
        <v>322</v>
      </c>
      <c r="F55" s="26" t="s">
        <v>322</v>
      </c>
      <c r="G55" s="26" t="s">
        <v>322</v>
      </c>
      <c r="H55" s="10" t="str">
        <f aca="false">IF(AND(EXACT(D55,E55),EXACT(E55,F55),EXACT(F55,G55)),"Same","DIFF")</f>
        <v>Same</v>
      </c>
    </row>
    <row r="56" customFormat="false" ht="15" hidden="false" customHeight="false" outlineLevel="0" collapsed="false">
      <c r="A56" s="26" t="s">
        <v>365</v>
      </c>
      <c r="B56" s="26" t="s">
        <v>348</v>
      </c>
      <c r="C56" s="26"/>
      <c r="D56" s="26" t="s">
        <v>322</v>
      </c>
      <c r="E56" s="26" t="s">
        <v>322</v>
      </c>
      <c r="F56" s="26" t="s">
        <v>322</v>
      </c>
      <c r="G56" s="26" t="s">
        <v>322</v>
      </c>
      <c r="H56" s="10" t="str">
        <f aca="false">IF(AND(EXACT(D56,E56),EXACT(E56,F56),EXACT(F56,G56)),"Same","DIFF")</f>
        <v>Same</v>
      </c>
    </row>
    <row r="57" customFormat="false" ht="15" hidden="false" customHeight="false" outlineLevel="0" collapsed="false">
      <c r="A57" s="26" t="s">
        <v>366</v>
      </c>
      <c r="B57" s="26" t="s">
        <v>367</v>
      </c>
      <c r="C57" s="26"/>
      <c r="D57" s="26" t="s">
        <v>368</v>
      </c>
      <c r="E57" s="26" t="s">
        <v>368</v>
      </c>
      <c r="F57" s="26" t="s">
        <v>368</v>
      </c>
      <c r="G57" s="26" t="s">
        <v>368</v>
      </c>
      <c r="H57" s="10" t="str">
        <f aca="false">IF(AND(EXACT(D57,E57),EXACT(E57,F57),EXACT(F57,G57)),"Same","DIFF")</f>
        <v>Same</v>
      </c>
    </row>
    <row r="58" customFormat="false" ht="15" hidden="false" customHeight="false" outlineLevel="0" collapsed="false">
      <c r="A58" s="26" t="s">
        <v>366</v>
      </c>
      <c r="B58" s="26" t="s">
        <v>355</v>
      </c>
      <c r="C58" s="26"/>
      <c r="D58" s="26" t="s">
        <v>322</v>
      </c>
      <c r="E58" s="26" t="s">
        <v>322</v>
      </c>
      <c r="F58" s="26" t="s">
        <v>322</v>
      </c>
      <c r="G58" s="26" t="s">
        <v>322</v>
      </c>
      <c r="H58" s="10" t="str">
        <f aca="false">IF(AND(EXACT(D58,E58),EXACT(E58,F58),EXACT(F58,G58)),"Same","DIFF")</f>
        <v>Same</v>
      </c>
    </row>
    <row r="59" customFormat="false" ht="15" hidden="false" customHeight="false" outlineLevel="0" collapsed="false">
      <c r="A59" s="26" t="s">
        <v>366</v>
      </c>
      <c r="B59" s="26" t="s">
        <v>369</v>
      </c>
      <c r="C59" s="26"/>
      <c r="D59" s="26" t="s">
        <v>368</v>
      </c>
      <c r="E59" s="26" t="s">
        <v>368</v>
      </c>
      <c r="F59" s="26" t="s">
        <v>368</v>
      </c>
      <c r="G59" s="26" t="s">
        <v>368</v>
      </c>
      <c r="H59" s="10" t="str">
        <f aca="false">IF(AND(EXACT(D59,E59),EXACT(E59,F59),EXACT(F59,G59)),"Same","DIFF")</f>
        <v>Same</v>
      </c>
    </row>
    <row r="60" customFormat="false" ht="15" hidden="false" customHeight="false" outlineLevel="0" collapsed="false">
      <c r="A60" s="26" t="s">
        <v>366</v>
      </c>
      <c r="B60" s="26" t="s">
        <v>321</v>
      </c>
      <c r="C60" s="26"/>
      <c r="D60" s="26" t="s">
        <v>368</v>
      </c>
      <c r="E60" s="26" t="s">
        <v>368</v>
      </c>
      <c r="F60" s="26" t="s">
        <v>368</v>
      </c>
      <c r="G60" s="26" t="s">
        <v>368</v>
      </c>
      <c r="H60" s="10" t="str">
        <f aca="false">IF(AND(EXACT(D60,E60),EXACT(E60,F60),EXACT(F60,G60)),"Same","DIFF")</f>
        <v>Same</v>
      </c>
    </row>
    <row r="61" customFormat="false" ht="15" hidden="false" customHeight="false" outlineLevel="0" collapsed="false">
      <c r="A61" s="26" t="s">
        <v>366</v>
      </c>
      <c r="B61" s="26" t="s">
        <v>318</v>
      </c>
      <c r="C61" s="26"/>
      <c r="D61" s="26" t="s">
        <v>368</v>
      </c>
      <c r="E61" s="26" t="s">
        <v>368</v>
      </c>
      <c r="F61" s="26" t="s">
        <v>368</v>
      </c>
      <c r="G61" s="26" t="s">
        <v>368</v>
      </c>
      <c r="H61" s="10" t="str">
        <f aca="false">IF(AND(EXACT(D61,E61),EXACT(E61,F61),EXACT(F61,G61)),"Same","DIFF")</f>
        <v>Same</v>
      </c>
    </row>
    <row r="62" customFormat="false" ht="15" hidden="false" customHeight="false" outlineLevel="0" collapsed="false">
      <c r="A62" s="26" t="s">
        <v>366</v>
      </c>
      <c r="B62" s="26" t="s">
        <v>370</v>
      </c>
      <c r="C62" s="26"/>
      <c r="D62" s="26" t="s">
        <v>368</v>
      </c>
      <c r="E62" s="26" t="s">
        <v>368</v>
      </c>
      <c r="F62" s="26" t="s">
        <v>368</v>
      </c>
      <c r="G62" s="26" t="s">
        <v>368</v>
      </c>
      <c r="H62" s="10" t="str">
        <f aca="false">IF(AND(EXACT(D62,E62),EXACT(E62,F62),EXACT(F62,G62)),"Same","DIFF")</f>
        <v>Same</v>
      </c>
    </row>
    <row r="63" customFormat="false" ht="15" hidden="false" customHeight="false" outlineLevel="0" collapsed="false">
      <c r="A63" s="26" t="s">
        <v>366</v>
      </c>
      <c r="B63" s="26" t="s">
        <v>323</v>
      </c>
      <c r="C63" s="26"/>
      <c r="D63" s="26" t="s">
        <v>368</v>
      </c>
      <c r="E63" s="26" t="s">
        <v>368</v>
      </c>
      <c r="F63" s="26" t="s">
        <v>368</v>
      </c>
      <c r="G63" s="26" t="s">
        <v>368</v>
      </c>
      <c r="H63" s="10" t="str">
        <f aca="false">IF(AND(EXACT(D63,E63),EXACT(E63,F63),EXACT(F63,G63)),"Same","DIFF")</f>
        <v>Same</v>
      </c>
    </row>
    <row r="64" customFormat="false" ht="15" hidden="false" customHeight="false" outlineLevel="0" collapsed="false">
      <c r="A64" s="26" t="s">
        <v>366</v>
      </c>
      <c r="B64" s="26" t="s">
        <v>371</v>
      </c>
      <c r="C64" s="26"/>
      <c r="D64" s="26" t="s">
        <v>368</v>
      </c>
      <c r="E64" s="26" t="s">
        <v>368</v>
      </c>
      <c r="F64" s="26" t="s">
        <v>368</v>
      </c>
      <c r="G64" s="26" t="s">
        <v>368</v>
      </c>
      <c r="H64" s="10" t="str">
        <f aca="false">IF(AND(EXACT(D64,E64),EXACT(E64,F64),EXACT(F64,G64)),"Same","DIFF")</f>
        <v>Same</v>
      </c>
    </row>
    <row r="65" customFormat="false" ht="15" hidden="false" customHeight="false" outlineLevel="0" collapsed="false">
      <c r="A65" s="26" t="s">
        <v>366</v>
      </c>
      <c r="B65" s="26" t="s">
        <v>325</v>
      </c>
      <c r="C65" s="26"/>
      <c r="D65" s="26" t="s">
        <v>368</v>
      </c>
      <c r="E65" s="26" t="s">
        <v>368</v>
      </c>
      <c r="F65" s="26" t="s">
        <v>368</v>
      </c>
      <c r="G65" s="26" t="s">
        <v>368</v>
      </c>
      <c r="H65" s="10" t="str">
        <f aca="false">IF(AND(EXACT(D65,E65),EXACT(E65,F65),EXACT(F65,G65)),"Same","DIFF")</f>
        <v>Same</v>
      </c>
    </row>
    <row r="66" customFormat="false" ht="15" hidden="false" customHeight="false" outlineLevel="0" collapsed="false">
      <c r="A66" s="26" t="s">
        <v>366</v>
      </c>
      <c r="B66" s="26" t="s">
        <v>372</v>
      </c>
      <c r="C66" s="26"/>
      <c r="D66" s="26" t="s">
        <v>368</v>
      </c>
      <c r="E66" s="26" t="s">
        <v>368</v>
      </c>
      <c r="F66" s="26" t="s">
        <v>368</v>
      </c>
      <c r="G66" s="26" t="s">
        <v>368</v>
      </c>
      <c r="H66" s="10" t="str">
        <f aca="false">IF(AND(EXACT(D66,E66),EXACT(E66,F66),EXACT(F66,G66)),"Same","DIFF")</f>
        <v>Same</v>
      </c>
    </row>
    <row r="67" customFormat="false" ht="15" hidden="false" customHeight="false" outlineLevel="0" collapsed="false">
      <c r="A67" s="26" t="s">
        <v>366</v>
      </c>
      <c r="B67" s="26" t="s">
        <v>373</v>
      </c>
      <c r="C67" s="26"/>
      <c r="D67" s="26" t="s">
        <v>368</v>
      </c>
      <c r="E67" s="26" t="s">
        <v>368</v>
      </c>
      <c r="F67" s="26" t="s">
        <v>368</v>
      </c>
      <c r="G67" s="26" t="s">
        <v>368</v>
      </c>
      <c r="H67" s="10" t="str">
        <f aca="false">IF(AND(EXACT(D67,E67),EXACT(E67,F67),EXACT(F67,G67)),"Same","DIFF")</f>
        <v>Same</v>
      </c>
    </row>
    <row r="68" customFormat="false" ht="15" hidden="false" customHeight="false" outlineLevel="0" collapsed="false">
      <c r="A68" s="26" t="s">
        <v>366</v>
      </c>
      <c r="B68" s="26" t="s">
        <v>374</v>
      </c>
      <c r="C68" s="26"/>
      <c r="D68" s="26" t="s">
        <v>368</v>
      </c>
      <c r="E68" s="26" t="s">
        <v>368</v>
      </c>
      <c r="F68" s="26" t="s">
        <v>368</v>
      </c>
      <c r="G68" s="26" t="s">
        <v>368</v>
      </c>
      <c r="H68" s="10" t="str">
        <f aca="false">IF(AND(EXACT(D68,E68),EXACT(E68,F68),EXACT(F68,G68)),"Same","DIFF")</f>
        <v>Same</v>
      </c>
    </row>
    <row r="69" customFormat="false" ht="15" hidden="false" customHeight="false" outlineLevel="0" collapsed="false">
      <c r="A69" s="26" t="s">
        <v>366</v>
      </c>
      <c r="B69" s="26" t="s">
        <v>331</v>
      </c>
      <c r="C69" s="26"/>
      <c r="D69" s="26" t="s">
        <v>368</v>
      </c>
      <c r="E69" s="26" t="s">
        <v>368</v>
      </c>
      <c r="F69" s="26" t="s">
        <v>368</v>
      </c>
      <c r="G69" s="26" t="s">
        <v>368</v>
      </c>
      <c r="H69" s="10" t="str">
        <f aca="false">IF(AND(EXACT(D69,E69),EXACT(E69,F69),EXACT(F69,G69)),"Same","DIFF")</f>
        <v>Same</v>
      </c>
    </row>
    <row r="70" customFormat="false" ht="15" hidden="false" customHeight="false" outlineLevel="0" collapsed="false">
      <c r="A70" s="26" t="s">
        <v>366</v>
      </c>
      <c r="B70" s="26" t="s">
        <v>375</v>
      </c>
      <c r="C70" s="26"/>
      <c r="D70" s="26" t="s">
        <v>368</v>
      </c>
      <c r="E70" s="26" t="s">
        <v>368</v>
      </c>
      <c r="F70" s="26" t="s">
        <v>368</v>
      </c>
      <c r="G70" s="26" t="s">
        <v>368</v>
      </c>
      <c r="H70" s="10" t="str">
        <f aca="false">IF(AND(EXACT(D70,E70),EXACT(E70,F70),EXACT(F70,G70)),"Same","DIFF")</f>
        <v>Same</v>
      </c>
    </row>
    <row r="71" customFormat="false" ht="15" hidden="false" customHeight="false" outlineLevel="0" collapsed="false">
      <c r="A71" s="26" t="s">
        <v>366</v>
      </c>
      <c r="B71" s="26" t="s">
        <v>376</v>
      </c>
      <c r="C71" s="26"/>
      <c r="D71" s="26" t="s">
        <v>322</v>
      </c>
      <c r="E71" s="26" t="s">
        <v>322</v>
      </c>
      <c r="F71" s="26" t="s">
        <v>322</v>
      </c>
      <c r="G71" s="26" t="s">
        <v>322</v>
      </c>
      <c r="H71" s="10" t="str">
        <f aca="false">IF(AND(EXACT(D71,E71),EXACT(E71,F71),EXACT(F71,G71)),"Same","DIFF")</f>
        <v>Same</v>
      </c>
    </row>
    <row r="72" customFormat="false" ht="15" hidden="false" customHeight="false" outlineLevel="0" collapsed="false">
      <c r="A72" s="26" t="s">
        <v>366</v>
      </c>
      <c r="B72" s="26" t="s">
        <v>377</v>
      </c>
      <c r="C72" s="26"/>
      <c r="D72" s="26" t="s">
        <v>368</v>
      </c>
      <c r="E72" s="26" t="s">
        <v>368</v>
      </c>
      <c r="F72" s="26" t="s">
        <v>368</v>
      </c>
      <c r="G72" s="26" t="s">
        <v>368</v>
      </c>
      <c r="H72" s="10" t="str">
        <f aca="false">IF(AND(EXACT(D72,E72),EXACT(E72,F72),EXACT(F72,G72)),"Same","DIFF")</f>
        <v>Same</v>
      </c>
    </row>
    <row r="73" customFormat="false" ht="15" hidden="false" customHeight="false" outlineLevel="0" collapsed="false">
      <c r="A73" s="26" t="s">
        <v>366</v>
      </c>
      <c r="B73" s="26" t="s">
        <v>378</v>
      </c>
      <c r="C73" s="26"/>
      <c r="D73" s="26" t="s">
        <v>368</v>
      </c>
      <c r="E73" s="26" t="s">
        <v>368</v>
      </c>
      <c r="F73" s="26" t="s">
        <v>368</v>
      </c>
      <c r="G73" s="26" t="s">
        <v>368</v>
      </c>
      <c r="H73" s="10" t="str">
        <f aca="false">IF(AND(EXACT(D73,E73),EXACT(E73,F73),EXACT(F73,G73)),"Same","DIFF")</f>
        <v>Same</v>
      </c>
    </row>
    <row r="74" customFormat="false" ht="15" hidden="false" customHeight="false" outlineLevel="0" collapsed="false">
      <c r="A74" s="26" t="s">
        <v>366</v>
      </c>
      <c r="B74" s="26" t="s">
        <v>379</v>
      </c>
      <c r="C74" s="26"/>
      <c r="D74" s="26" t="s">
        <v>368</v>
      </c>
      <c r="E74" s="26" t="s">
        <v>368</v>
      </c>
      <c r="F74" s="26" t="s">
        <v>368</v>
      </c>
      <c r="G74" s="26" t="s">
        <v>368</v>
      </c>
      <c r="H74" s="10" t="str">
        <f aca="false">IF(AND(EXACT(D74,E74),EXACT(E74,F74),EXACT(F74,G74)),"Same","DIFF")</f>
        <v>Same</v>
      </c>
    </row>
    <row r="75" customFormat="false" ht="15" hidden="false" customHeight="false" outlineLevel="0" collapsed="false">
      <c r="A75" s="26" t="s">
        <v>366</v>
      </c>
      <c r="B75" s="26" t="s">
        <v>332</v>
      </c>
      <c r="C75" s="26"/>
      <c r="D75" s="26" t="s">
        <v>368</v>
      </c>
      <c r="E75" s="26" t="s">
        <v>368</v>
      </c>
      <c r="F75" s="26" t="s">
        <v>368</v>
      </c>
      <c r="G75" s="26" t="s">
        <v>368</v>
      </c>
      <c r="H75" s="10" t="str">
        <f aca="false">IF(AND(EXACT(D75,E75),EXACT(E75,F75),EXACT(F75,G75)),"Same","DIFF")</f>
        <v>Same</v>
      </c>
    </row>
    <row r="76" customFormat="false" ht="15" hidden="false" customHeight="false" outlineLevel="0" collapsed="false">
      <c r="A76" s="26" t="s">
        <v>366</v>
      </c>
      <c r="B76" s="26" t="s">
        <v>333</v>
      </c>
      <c r="C76" s="26"/>
      <c r="D76" s="26" t="s">
        <v>368</v>
      </c>
      <c r="E76" s="26" t="s">
        <v>368</v>
      </c>
      <c r="F76" s="26" t="s">
        <v>368</v>
      </c>
      <c r="G76" s="26" t="s">
        <v>368</v>
      </c>
      <c r="H76" s="10" t="str">
        <f aca="false">IF(AND(EXACT(D76,E76),EXACT(E76,F76),EXACT(F76,G76)),"Same","DIFF")</f>
        <v>Same</v>
      </c>
    </row>
    <row r="77" customFormat="false" ht="15" hidden="false" customHeight="false" outlineLevel="0" collapsed="false">
      <c r="A77" s="26" t="s">
        <v>366</v>
      </c>
      <c r="B77" s="26" t="s">
        <v>380</v>
      </c>
      <c r="C77" s="26"/>
      <c r="D77" s="26" t="s">
        <v>368</v>
      </c>
      <c r="E77" s="26" t="s">
        <v>368</v>
      </c>
      <c r="F77" s="26" t="s">
        <v>368</v>
      </c>
      <c r="G77" s="26" t="s">
        <v>368</v>
      </c>
      <c r="H77" s="10" t="str">
        <f aca="false">IF(AND(EXACT(D77,E77),EXACT(E77,F77),EXACT(F77,G77)),"Same","DIFF")</f>
        <v>Same</v>
      </c>
    </row>
    <row r="78" customFormat="false" ht="15" hidden="false" customHeight="false" outlineLevel="0" collapsed="false">
      <c r="A78" s="26" t="s">
        <v>366</v>
      </c>
      <c r="B78" s="26" t="s">
        <v>337</v>
      </c>
      <c r="C78" s="26"/>
      <c r="D78" s="26" t="s">
        <v>368</v>
      </c>
      <c r="E78" s="26" t="s">
        <v>368</v>
      </c>
      <c r="F78" s="26" t="s">
        <v>368</v>
      </c>
      <c r="G78" s="26" t="s">
        <v>368</v>
      </c>
      <c r="H78" s="10" t="str">
        <f aca="false">IF(AND(EXACT(D78,E78),EXACT(E78,F78),EXACT(F78,G78)),"Same","DIFF")</f>
        <v>Same</v>
      </c>
    </row>
    <row r="79" customFormat="false" ht="15" hidden="false" customHeight="false" outlineLevel="0" collapsed="false">
      <c r="A79" s="26" t="s">
        <v>366</v>
      </c>
      <c r="B79" s="26" t="s">
        <v>338</v>
      </c>
      <c r="C79" s="26"/>
      <c r="D79" s="26" t="s">
        <v>368</v>
      </c>
      <c r="E79" s="26" t="s">
        <v>368</v>
      </c>
      <c r="F79" s="26" t="s">
        <v>368</v>
      </c>
      <c r="G79" s="26" t="s">
        <v>368</v>
      </c>
      <c r="H79" s="10" t="str">
        <f aca="false">IF(AND(EXACT(D79,E79),EXACT(E79,F79),EXACT(F79,G79)),"Same","DIFF")</f>
        <v>Same</v>
      </c>
    </row>
    <row r="80" customFormat="false" ht="15" hidden="false" customHeight="false" outlineLevel="0" collapsed="false">
      <c r="A80" s="26" t="s">
        <v>366</v>
      </c>
      <c r="B80" s="26" t="s">
        <v>358</v>
      </c>
      <c r="C80" s="26"/>
      <c r="D80" s="26" t="s">
        <v>368</v>
      </c>
      <c r="E80" s="26" t="s">
        <v>368</v>
      </c>
      <c r="F80" s="26" t="s">
        <v>368</v>
      </c>
      <c r="G80" s="26" t="s">
        <v>368</v>
      </c>
      <c r="H80" s="10" t="str">
        <f aca="false">IF(AND(EXACT(D80,E80),EXACT(E80,F80),EXACT(F80,G80)),"Same","DIFF")</f>
        <v>Same</v>
      </c>
    </row>
    <row r="81" customFormat="false" ht="15" hidden="false" customHeight="false" outlineLevel="0" collapsed="false">
      <c r="A81" s="26" t="s">
        <v>366</v>
      </c>
      <c r="B81" s="26" t="s">
        <v>381</v>
      </c>
      <c r="C81" s="26"/>
      <c r="D81" s="26" t="s">
        <v>368</v>
      </c>
      <c r="E81" s="26" t="s">
        <v>368</v>
      </c>
      <c r="F81" s="26" t="s">
        <v>368</v>
      </c>
      <c r="G81" s="26" t="s">
        <v>368</v>
      </c>
      <c r="H81" s="10" t="str">
        <f aca="false">IF(AND(EXACT(D81,E81),EXACT(E81,F81),EXACT(F81,G81)),"Same","DIFF")</f>
        <v>Same</v>
      </c>
    </row>
    <row r="82" customFormat="false" ht="15" hidden="false" customHeight="false" outlineLevel="0" collapsed="false">
      <c r="A82" s="26" t="s">
        <v>366</v>
      </c>
      <c r="B82" s="26" t="s">
        <v>382</v>
      </c>
      <c r="C82" s="26"/>
      <c r="D82" s="26" t="s">
        <v>368</v>
      </c>
      <c r="E82" s="26" t="s">
        <v>368</v>
      </c>
      <c r="F82" s="26" t="s">
        <v>368</v>
      </c>
      <c r="G82" s="26" t="s">
        <v>368</v>
      </c>
      <c r="H82" s="10" t="str">
        <f aca="false">IF(AND(EXACT(D82,E82),EXACT(E82,F82),EXACT(F82,G82)),"Same","DIFF")</f>
        <v>Same</v>
      </c>
    </row>
    <row r="83" customFormat="false" ht="15" hidden="false" customHeight="false" outlineLevel="0" collapsed="false">
      <c r="A83" s="26" t="s">
        <v>366</v>
      </c>
      <c r="B83" s="26" t="s">
        <v>344</v>
      </c>
      <c r="C83" s="26"/>
      <c r="D83" s="26" t="s">
        <v>368</v>
      </c>
      <c r="E83" s="26" t="s">
        <v>368</v>
      </c>
      <c r="F83" s="26" t="s">
        <v>368</v>
      </c>
      <c r="G83" s="26" t="s">
        <v>368</v>
      </c>
      <c r="H83" s="10" t="str">
        <f aca="false">IF(AND(EXACT(D83,E83),EXACT(E83,F83),EXACT(F83,G83)),"Same","DIFF")</f>
        <v>Same</v>
      </c>
    </row>
    <row r="84" customFormat="false" ht="15" hidden="false" customHeight="false" outlineLevel="0" collapsed="false">
      <c r="A84" s="26" t="s">
        <v>366</v>
      </c>
      <c r="B84" s="26" t="s">
        <v>383</v>
      </c>
      <c r="C84" s="26"/>
      <c r="D84" s="26" t="s">
        <v>368</v>
      </c>
      <c r="E84" s="26" t="s">
        <v>368</v>
      </c>
      <c r="F84" s="26" t="s">
        <v>368</v>
      </c>
      <c r="G84" s="26" t="s">
        <v>368</v>
      </c>
      <c r="H84" s="10" t="str">
        <f aca="false">IF(AND(EXACT(D84,E84),EXACT(E84,F84),EXACT(F84,G84)),"Same","DIFF")</f>
        <v>Same</v>
      </c>
    </row>
    <row r="85" customFormat="false" ht="15" hidden="false" customHeight="false" outlineLevel="0" collapsed="false">
      <c r="A85" s="26" t="s">
        <v>366</v>
      </c>
      <c r="B85" s="26" t="s">
        <v>364</v>
      </c>
      <c r="C85" s="26"/>
      <c r="D85" s="26" t="s">
        <v>368</v>
      </c>
      <c r="E85" s="26" t="s">
        <v>368</v>
      </c>
      <c r="F85" s="26" t="s">
        <v>368</v>
      </c>
      <c r="G85" s="26" t="s">
        <v>368</v>
      </c>
      <c r="H85" s="10" t="str">
        <f aca="false">IF(AND(EXACT(D85,E85),EXACT(E85,F85),EXACT(F85,G85)),"Same","DIFF")</f>
        <v>Same</v>
      </c>
    </row>
    <row r="86" customFormat="false" ht="15" hidden="false" customHeight="false" outlineLevel="0" collapsed="false">
      <c r="A86" s="26" t="s">
        <v>366</v>
      </c>
      <c r="B86" s="26" t="s">
        <v>384</v>
      </c>
      <c r="C86" s="26"/>
      <c r="D86" s="26" t="s">
        <v>368</v>
      </c>
      <c r="E86" s="26" t="s">
        <v>368</v>
      </c>
      <c r="F86" s="26" t="s">
        <v>368</v>
      </c>
      <c r="G86" s="26" t="s">
        <v>368</v>
      </c>
      <c r="H86" s="10" t="str">
        <f aca="false">IF(AND(EXACT(D86,E86),EXACT(E86,F86),EXACT(F86,G86)),"Same","DIFF")</f>
        <v>Same</v>
      </c>
    </row>
    <row r="87" customFormat="false" ht="15" hidden="false" customHeight="false" outlineLevel="0" collapsed="false">
      <c r="A87" s="26" t="s">
        <v>366</v>
      </c>
      <c r="B87" s="26" t="s">
        <v>348</v>
      </c>
      <c r="C87" s="26"/>
      <c r="D87" s="26" t="s">
        <v>368</v>
      </c>
      <c r="E87" s="26" t="s">
        <v>368</v>
      </c>
      <c r="F87" s="26" t="s">
        <v>368</v>
      </c>
      <c r="G87" s="26" t="s">
        <v>368</v>
      </c>
      <c r="H87" s="10" t="str">
        <f aca="false">IF(AND(EXACT(D87,E87),EXACT(E87,F87),EXACT(F87,G87)),"Same","DIFF")</f>
        <v>Same</v>
      </c>
    </row>
    <row r="88" customFormat="false" ht="15" hidden="false" customHeight="false" outlineLevel="0" collapsed="false">
      <c r="A88" s="26" t="s">
        <v>366</v>
      </c>
      <c r="B88" s="26" t="s">
        <v>385</v>
      </c>
      <c r="C88" s="26"/>
      <c r="D88" s="26" t="s">
        <v>368</v>
      </c>
      <c r="E88" s="26" t="s">
        <v>368</v>
      </c>
      <c r="F88" s="26" t="s">
        <v>368</v>
      </c>
      <c r="G88" s="26" t="s">
        <v>368</v>
      </c>
      <c r="H88" s="10" t="str">
        <f aca="false">IF(AND(EXACT(D88,E88),EXACT(E88,F88),EXACT(F88,G88)),"Same","DIFF")</f>
        <v>Same</v>
      </c>
    </row>
    <row r="89" customFormat="false" ht="15" hidden="false" customHeight="false" outlineLevel="0" collapsed="false">
      <c r="A89" s="26" t="s">
        <v>366</v>
      </c>
      <c r="B89" s="26" t="s">
        <v>349</v>
      </c>
      <c r="C89" s="26"/>
      <c r="D89" s="26" t="s">
        <v>322</v>
      </c>
      <c r="E89" s="26" t="s">
        <v>322</v>
      </c>
      <c r="F89" s="26" t="s">
        <v>322</v>
      </c>
      <c r="G89" s="26" t="s">
        <v>322</v>
      </c>
      <c r="H89" s="10" t="str">
        <f aca="false">IF(AND(EXACT(D89,E89),EXACT(E89,F89),EXACT(F89,G89)),"Same","DIFF")</f>
        <v>Same</v>
      </c>
    </row>
    <row r="90" customFormat="false" ht="15" hidden="false" customHeight="false" outlineLevel="0" collapsed="false">
      <c r="A90" s="26" t="s">
        <v>366</v>
      </c>
      <c r="B90" s="26" t="s">
        <v>386</v>
      </c>
      <c r="C90" s="26"/>
      <c r="D90" s="26" t="s">
        <v>368</v>
      </c>
      <c r="E90" s="26" t="s">
        <v>368</v>
      </c>
      <c r="F90" s="26" t="s">
        <v>368</v>
      </c>
      <c r="G90" s="26" t="s">
        <v>368</v>
      </c>
      <c r="H90" s="10" t="str">
        <f aca="false">IF(AND(EXACT(D90,E90),EXACT(E90,F90),EXACT(F90,G90)),"Same","DIFF")</f>
        <v>Same</v>
      </c>
    </row>
    <row r="91" customFormat="false" ht="15" hidden="false" customHeight="false" outlineLevel="0" collapsed="false">
      <c r="A91" s="26" t="s">
        <v>366</v>
      </c>
      <c r="B91" s="26" t="s">
        <v>387</v>
      </c>
      <c r="C91" s="26"/>
      <c r="D91" s="26" t="s">
        <v>368</v>
      </c>
      <c r="E91" s="26" t="s">
        <v>368</v>
      </c>
      <c r="F91" s="26" t="s">
        <v>368</v>
      </c>
      <c r="G91" s="26" t="s">
        <v>368</v>
      </c>
      <c r="H91" s="10" t="str">
        <f aca="false">IF(AND(EXACT(D91,E91),EXACT(E91,F91),EXACT(F91,G91)),"Same","DIFF")</f>
        <v>Same</v>
      </c>
    </row>
    <row r="92" customFormat="false" ht="15" hidden="false" customHeight="false" outlineLevel="0" collapsed="false">
      <c r="A92" s="26" t="s">
        <v>388</v>
      </c>
      <c r="B92" s="26" t="s">
        <v>355</v>
      </c>
      <c r="C92" s="26"/>
      <c r="D92" s="26" t="s">
        <v>104</v>
      </c>
      <c r="E92" s="26" t="s">
        <v>104</v>
      </c>
      <c r="F92" s="26" t="s">
        <v>356</v>
      </c>
      <c r="G92" s="26" t="s">
        <v>356</v>
      </c>
      <c r="H92" s="10" t="str">
        <f aca="false">IF(AND(EXACT(D92,E92),EXACT(E92,F92),EXACT(F92,G92)),"Same","DIFF")</f>
        <v>DIFF</v>
      </c>
    </row>
    <row r="93" customFormat="false" ht="15" hidden="false" customHeight="false" outlineLevel="0" collapsed="false">
      <c r="A93" s="26" t="s">
        <v>388</v>
      </c>
      <c r="B93" s="26" t="s">
        <v>321</v>
      </c>
      <c r="C93" s="26"/>
      <c r="D93" s="26" t="s">
        <v>104</v>
      </c>
      <c r="E93" s="26" t="s">
        <v>104</v>
      </c>
      <c r="F93" s="26" t="s">
        <v>356</v>
      </c>
      <c r="G93" s="26" t="s">
        <v>356</v>
      </c>
      <c r="H93" s="10" t="str">
        <f aca="false">IF(AND(EXACT(D93,E93),EXACT(E93,F93),EXACT(F93,G93)),"Same","DIFF")</f>
        <v>DIFF</v>
      </c>
    </row>
    <row r="94" customFormat="false" ht="15" hidden="false" customHeight="false" outlineLevel="0" collapsed="false">
      <c r="A94" s="26" t="s">
        <v>388</v>
      </c>
      <c r="B94" s="26" t="s">
        <v>318</v>
      </c>
      <c r="C94" s="26"/>
      <c r="D94" s="26" t="s">
        <v>104</v>
      </c>
      <c r="E94" s="26" t="s">
        <v>104</v>
      </c>
      <c r="F94" s="26" t="s">
        <v>356</v>
      </c>
      <c r="G94" s="26" t="s">
        <v>356</v>
      </c>
      <c r="H94" s="10" t="str">
        <f aca="false">IF(AND(EXACT(D94,E94),EXACT(E94,F94),EXACT(F94,G94)),"Same","DIFF")</f>
        <v>DIFF</v>
      </c>
    </row>
    <row r="95" customFormat="false" ht="15" hidden="false" customHeight="false" outlineLevel="0" collapsed="false">
      <c r="A95" s="26" t="s">
        <v>388</v>
      </c>
      <c r="B95" s="26" t="s">
        <v>325</v>
      </c>
      <c r="C95" s="26"/>
      <c r="D95" s="26" t="s">
        <v>104</v>
      </c>
      <c r="E95" s="26" t="s">
        <v>104</v>
      </c>
      <c r="F95" s="26" t="s">
        <v>356</v>
      </c>
      <c r="G95" s="26" t="s">
        <v>356</v>
      </c>
      <c r="H95" s="10" t="str">
        <f aca="false">IF(AND(EXACT(D95,E95),EXACT(E95,F95),EXACT(F95,G95)),"Same","DIFF")</f>
        <v>DIFF</v>
      </c>
    </row>
    <row r="96" customFormat="false" ht="15" hidden="false" customHeight="false" outlineLevel="0" collapsed="false">
      <c r="A96" s="26" t="s">
        <v>388</v>
      </c>
      <c r="B96" s="26" t="s">
        <v>373</v>
      </c>
      <c r="C96" s="26"/>
      <c r="D96" s="26" t="s">
        <v>104</v>
      </c>
      <c r="E96" s="26" t="s">
        <v>104</v>
      </c>
      <c r="F96" s="26" t="s">
        <v>356</v>
      </c>
      <c r="G96" s="26" t="s">
        <v>356</v>
      </c>
      <c r="H96" s="10" t="str">
        <f aca="false">IF(AND(EXACT(D96,E96),EXACT(E96,F96),EXACT(F96,G96)),"Same","DIFF")</f>
        <v>DIFF</v>
      </c>
    </row>
    <row r="97" customFormat="false" ht="15" hidden="false" customHeight="false" outlineLevel="0" collapsed="false">
      <c r="A97" s="26" t="s">
        <v>388</v>
      </c>
      <c r="B97" s="26" t="s">
        <v>389</v>
      </c>
      <c r="C97" s="26"/>
      <c r="D97" s="26" t="s">
        <v>104</v>
      </c>
      <c r="E97" s="26" t="s">
        <v>104</v>
      </c>
      <c r="F97" s="26" t="s">
        <v>356</v>
      </c>
      <c r="G97" s="26" t="s">
        <v>356</v>
      </c>
      <c r="H97" s="10" t="str">
        <f aca="false">IF(AND(EXACT(D97,E97),EXACT(E97,F97),EXACT(F97,G97)),"Same","DIFF")</f>
        <v>DIFF</v>
      </c>
    </row>
    <row r="98" customFormat="false" ht="15" hidden="false" customHeight="false" outlineLevel="0" collapsed="false">
      <c r="A98" s="26" t="s">
        <v>388</v>
      </c>
      <c r="B98" s="26" t="s">
        <v>344</v>
      </c>
      <c r="C98" s="26"/>
      <c r="D98" s="26" t="s">
        <v>104</v>
      </c>
      <c r="E98" s="26" t="s">
        <v>104</v>
      </c>
      <c r="F98" s="26" t="s">
        <v>356</v>
      </c>
      <c r="G98" s="26" t="s">
        <v>356</v>
      </c>
      <c r="H98" s="10" t="str">
        <f aca="false">IF(AND(EXACT(D98,E98),EXACT(E98,F98),EXACT(F98,G98)),"Same","DIFF")</f>
        <v>DIFF</v>
      </c>
    </row>
    <row r="99" customFormat="false" ht="15" hidden="false" customHeight="false" outlineLevel="0" collapsed="false">
      <c r="A99" s="26" t="s">
        <v>388</v>
      </c>
      <c r="B99" s="26" t="s">
        <v>363</v>
      </c>
      <c r="C99" s="26"/>
      <c r="D99" s="26" t="s">
        <v>104</v>
      </c>
      <c r="E99" s="26" t="s">
        <v>104</v>
      </c>
      <c r="F99" s="26" t="s">
        <v>356</v>
      </c>
      <c r="G99" s="26" t="s">
        <v>356</v>
      </c>
      <c r="H99" s="10" t="str">
        <f aca="false">IF(AND(EXACT(D99,E99),EXACT(E99,F99),EXACT(F99,G99)),"Same","DIFF")</f>
        <v>DIFF</v>
      </c>
    </row>
    <row r="100" customFormat="false" ht="15" hidden="false" customHeight="false" outlineLevel="0" collapsed="false">
      <c r="A100" s="26" t="s">
        <v>388</v>
      </c>
      <c r="B100" s="26" t="s">
        <v>348</v>
      </c>
      <c r="C100" s="26"/>
      <c r="D100" s="26" t="s">
        <v>104</v>
      </c>
      <c r="E100" s="26" t="s">
        <v>356</v>
      </c>
      <c r="F100" s="26" t="s">
        <v>104</v>
      </c>
      <c r="G100" s="26" t="s">
        <v>104</v>
      </c>
      <c r="H100" s="10" t="str">
        <f aca="false">IF(AND(EXACT(D100,E100),EXACT(E100,F100),EXACT(F100,G100)),"Same","DIFF")</f>
        <v>DIFF</v>
      </c>
    </row>
    <row r="101" customFormat="false" ht="15" hidden="false" customHeight="false" outlineLevel="0" collapsed="false">
      <c r="A101" s="26" t="s">
        <v>390</v>
      </c>
      <c r="B101" s="26" t="s">
        <v>321</v>
      </c>
      <c r="C101" s="26"/>
      <c r="D101" s="26" t="s">
        <v>320</v>
      </c>
      <c r="E101" s="26" t="s">
        <v>104</v>
      </c>
      <c r="F101" s="26" t="s">
        <v>104</v>
      </c>
      <c r="G101" s="26" t="s">
        <v>104</v>
      </c>
      <c r="H101" s="10" t="str">
        <f aca="false">IF(AND(EXACT(D101,E101),EXACT(E101,F101),EXACT(F101,G101)),"Same","DIFF")</f>
        <v>DIFF</v>
      </c>
    </row>
    <row r="102" customFormat="false" ht="15" hidden="false" customHeight="false" outlineLevel="0" collapsed="false">
      <c r="A102" s="26" t="s">
        <v>390</v>
      </c>
      <c r="B102" s="26" t="s">
        <v>318</v>
      </c>
      <c r="C102" s="26"/>
      <c r="D102" s="26" t="s">
        <v>320</v>
      </c>
      <c r="E102" s="26" t="s">
        <v>104</v>
      </c>
      <c r="F102" s="26" t="s">
        <v>104</v>
      </c>
      <c r="G102" s="26" t="s">
        <v>104</v>
      </c>
      <c r="H102" s="10" t="str">
        <f aca="false">IF(AND(EXACT(D102,E102),EXACT(E102,F102),EXACT(F102,G102)),"Same","DIFF")</f>
        <v>DIFF</v>
      </c>
    </row>
    <row r="103" customFormat="false" ht="15" hidden="false" customHeight="false" outlineLevel="0" collapsed="false">
      <c r="A103" s="26" t="s">
        <v>390</v>
      </c>
      <c r="B103" s="26" t="s">
        <v>370</v>
      </c>
      <c r="C103" s="26"/>
      <c r="D103" s="26" t="s">
        <v>356</v>
      </c>
      <c r="E103" s="26" t="s">
        <v>104</v>
      </c>
      <c r="F103" s="26" t="s">
        <v>104</v>
      </c>
      <c r="G103" s="26" t="s">
        <v>104</v>
      </c>
      <c r="H103" s="10" t="str">
        <f aca="false">IF(AND(EXACT(D103,E103),EXACT(E103,F103),EXACT(F103,G103)),"Same","DIFF")</f>
        <v>DIFF</v>
      </c>
    </row>
    <row r="104" customFormat="false" ht="15" hidden="false" customHeight="false" outlineLevel="0" collapsed="false">
      <c r="A104" s="26" t="s">
        <v>390</v>
      </c>
      <c r="B104" s="26" t="s">
        <v>323</v>
      </c>
      <c r="C104" s="26"/>
      <c r="D104" s="26" t="s">
        <v>320</v>
      </c>
      <c r="E104" s="26" t="s">
        <v>104</v>
      </c>
      <c r="F104" s="26" t="s">
        <v>104</v>
      </c>
      <c r="G104" s="26" t="s">
        <v>104</v>
      </c>
      <c r="H104" s="10" t="str">
        <f aca="false">IF(AND(EXACT(D104,E104),EXACT(E104,F104),EXACT(F104,G104)),"Same","DIFF")</f>
        <v>DIFF</v>
      </c>
    </row>
    <row r="105" customFormat="false" ht="15" hidden="false" customHeight="false" outlineLevel="0" collapsed="false">
      <c r="A105" s="26" t="s">
        <v>390</v>
      </c>
      <c r="B105" s="26" t="s">
        <v>324</v>
      </c>
      <c r="C105" s="26"/>
      <c r="D105" s="26" t="s">
        <v>320</v>
      </c>
      <c r="E105" s="26" t="s">
        <v>104</v>
      </c>
      <c r="F105" s="26" t="s">
        <v>104</v>
      </c>
      <c r="G105" s="26" t="s">
        <v>104</v>
      </c>
      <c r="H105" s="10" t="str">
        <f aca="false">IF(AND(EXACT(D105,E105),EXACT(E105,F105),EXACT(F105,G105)),"Same","DIFF")</f>
        <v>DIFF</v>
      </c>
    </row>
    <row r="106" customFormat="false" ht="15" hidden="false" customHeight="false" outlineLevel="0" collapsed="false">
      <c r="A106" s="26" t="s">
        <v>390</v>
      </c>
      <c r="B106" s="26" t="s">
        <v>391</v>
      </c>
      <c r="C106" s="26"/>
      <c r="D106" s="26" t="s">
        <v>320</v>
      </c>
      <c r="E106" s="26" t="s">
        <v>104</v>
      </c>
      <c r="F106" s="26" t="s">
        <v>104</v>
      </c>
      <c r="G106" s="26" t="s">
        <v>104</v>
      </c>
      <c r="H106" s="10" t="str">
        <f aca="false">IF(AND(EXACT(D106,E106),EXACT(E106,F106),EXACT(F106,G106)),"Same","DIFF")</f>
        <v>DIFF</v>
      </c>
    </row>
    <row r="107" customFormat="false" ht="15" hidden="false" customHeight="false" outlineLevel="0" collapsed="false">
      <c r="A107" s="26" t="s">
        <v>390</v>
      </c>
      <c r="B107" s="26" t="s">
        <v>325</v>
      </c>
      <c r="C107" s="26"/>
      <c r="D107" s="26" t="s">
        <v>320</v>
      </c>
      <c r="E107" s="26" t="s">
        <v>104</v>
      </c>
      <c r="F107" s="26" t="s">
        <v>104</v>
      </c>
      <c r="G107" s="26" t="s">
        <v>104</v>
      </c>
      <c r="H107" s="10" t="str">
        <f aca="false">IF(AND(EXACT(D107,E107),EXACT(E107,F107),EXACT(F107,G107)),"Same","DIFF")</f>
        <v>DIFF</v>
      </c>
    </row>
    <row r="108" customFormat="false" ht="15" hidden="false" customHeight="false" outlineLevel="0" collapsed="false">
      <c r="A108" s="26" t="s">
        <v>390</v>
      </c>
      <c r="B108" s="26" t="s">
        <v>326</v>
      </c>
      <c r="C108" s="26"/>
      <c r="D108" s="26" t="s">
        <v>320</v>
      </c>
      <c r="E108" s="26" t="s">
        <v>104</v>
      </c>
      <c r="F108" s="26" t="s">
        <v>104</v>
      </c>
      <c r="G108" s="26" t="s">
        <v>104</v>
      </c>
      <c r="H108" s="10" t="str">
        <f aca="false">IF(AND(EXACT(D108,E108),EXACT(E108,F108),EXACT(F108,G108)),"Same","DIFF")</f>
        <v>DIFF</v>
      </c>
    </row>
    <row r="109" customFormat="false" ht="15" hidden="false" customHeight="false" outlineLevel="0" collapsed="false">
      <c r="A109" s="26" t="s">
        <v>390</v>
      </c>
      <c r="B109" s="26" t="s">
        <v>331</v>
      </c>
      <c r="C109" s="26"/>
      <c r="D109" s="26" t="s">
        <v>320</v>
      </c>
      <c r="E109" s="26" t="s">
        <v>104</v>
      </c>
      <c r="F109" s="26" t="s">
        <v>104</v>
      </c>
      <c r="G109" s="26" t="s">
        <v>104</v>
      </c>
      <c r="H109" s="10" t="str">
        <f aca="false">IF(AND(EXACT(D109,E109),EXACT(E109,F109),EXACT(F109,G109)),"Same","DIFF")</f>
        <v>DIFF</v>
      </c>
    </row>
    <row r="110" customFormat="false" ht="15" hidden="false" customHeight="false" outlineLevel="0" collapsed="false">
      <c r="A110" s="26" t="s">
        <v>390</v>
      </c>
      <c r="B110" s="26" t="s">
        <v>376</v>
      </c>
      <c r="C110" s="26"/>
      <c r="D110" s="26" t="s">
        <v>320</v>
      </c>
      <c r="E110" s="26" t="s">
        <v>104</v>
      </c>
      <c r="F110" s="26" t="s">
        <v>104</v>
      </c>
      <c r="G110" s="26" t="s">
        <v>104</v>
      </c>
      <c r="H110" s="10" t="str">
        <f aca="false">IF(AND(EXACT(D110,E110),EXACT(E110,F110),EXACT(F110,G110)),"Same","DIFF")</f>
        <v>DIFF</v>
      </c>
    </row>
    <row r="111" customFormat="false" ht="15" hidden="false" customHeight="false" outlineLevel="0" collapsed="false">
      <c r="A111" s="26" t="s">
        <v>390</v>
      </c>
      <c r="B111" s="26" t="s">
        <v>380</v>
      </c>
      <c r="C111" s="26"/>
      <c r="D111" s="26" t="s">
        <v>320</v>
      </c>
      <c r="E111" s="26" t="s">
        <v>104</v>
      </c>
      <c r="F111" s="26" t="s">
        <v>104</v>
      </c>
      <c r="G111" s="26" t="s">
        <v>104</v>
      </c>
      <c r="H111" s="10" t="str">
        <f aca="false">IF(AND(EXACT(D111,E111),EXACT(E111,F111),EXACT(F111,G111)),"Same","DIFF")</f>
        <v>DIFF</v>
      </c>
    </row>
    <row r="112" customFormat="false" ht="15" hidden="false" customHeight="false" outlineLevel="0" collapsed="false">
      <c r="A112" s="26" t="s">
        <v>390</v>
      </c>
      <c r="B112" s="26" t="s">
        <v>334</v>
      </c>
      <c r="C112" s="26"/>
      <c r="D112" s="26" t="s">
        <v>320</v>
      </c>
      <c r="E112" s="26" t="s">
        <v>104</v>
      </c>
      <c r="F112" s="26" t="s">
        <v>104</v>
      </c>
      <c r="G112" s="26" t="s">
        <v>104</v>
      </c>
      <c r="H112" s="10" t="str">
        <f aca="false">IF(AND(EXACT(D112,E112),EXACT(E112,F112),EXACT(F112,G112)),"Same","DIFF")</f>
        <v>DIFF</v>
      </c>
    </row>
    <row r="113" customFormat="false" ht="15" hidden="false" customHeight="false" outlineLevel="0" collapsed="false">
      <c r="A113" s="26" t="s">
        <v>390</v>
      </c>
      <c r="B113" s="26" t="s">
        <v>335</v>
      </c>
      <c r="C113" s="26"/>
      <c r="D113" s="26" t="s">
        <v>320</v>
      </c>
      <c r="E113" s="26" t="s">
        <v>104</v>
      </c>
      <c r="F113" s="26" t="s">
        <v>104</v>
      </c>
      <c r="G113" s="26" t="s">
        <v>104</v>
      </c>
      <c r="H113" s="10" t="str">
        <f aca="false">IF(AND(EXACT(D113,E113),EXACT(E113,F113),EXACT(F113,G113)),"Same","DIFF")</f>
        <v>DIFF</v>
      </c>
    </row>
    <row r="114" customFormat="false" ht="15" hidden="false" customHeight="false" outlineLevel="0" collapsed="false">
      <c r="A114" s="26" t="s">
        <v>390</v>
      </c>
      <c r="B114" s="26" t="s">
        <v>336</v>
      </c>
      <c r="C114" s="26"/>
      <c r="D114" s="26" t="s">
        <v>320</v>
      </c>
      <c r="E114" s="26" t="s">
        <v>104</v>
      </c>
      <c r="F114" s="26" t="s">
        <v>104</v>
      </c>
      <c r="G114" s="26" t="s">
        <v>104</v>
      </c>
      <c r="H114" s="10" t="str">
        <f aca="false">IF(AND(EXACT(D114,E114),EXACT(E114,F114),EXACT(F114,G114)),"Same","DIFF")</f>
        <v>DIFF</v>
      </c>
    </row>
    <row r="115" customFormat="false" ht="15" hidden="false" customHeight="false" outlineLevel="0" collapsed="false">
      <c r="A115" s="26" t="s">
        <v>390</v>
      </c>
      <c r="B115" s="26" t="s">
        <v>337</v>
      </c>
      <c r="C115" s="26"/>
      <c r="D115" s="26" t="s">
        <v>356</v>
      </c>
      <c r="E115" s="26" t="s">
        <v>104</v>
      </c>
      <c r="F115" s="26" t="s">
        <v>104</v>
      </c>
      <c r="G115" s="26" t="s">
        <v>104</v>
      </c>
      <c r="H115" s="10" t="str">
        <f aca="false">IF(AND(EXACT(D115,E115),EXACT(E115,F115),EXACT(F115,G115)),"Same","DIFF")</f>
        <v>DIFF</v>
      </c>
    </row>
    <row r="116" customFormat="false" ht="15" hidden="false" customHeight="false" outlineLevel="0" collapsed="false">
      <c r="A116" s="26" t="s">
        <v>390</v>
      </c>
      <c r="B116" s="26" t="s">
        <v>338</v>
      </c>
      <c r="C116" s="26"/>
      <c r="D116" s="26" t="s">
        <v>320</v>
      </c>
      <c r="E116" s="26" t="s">
        <v>104</v>
      </c>
      <c r="F116" s="26" t="s">
        <v>104</v>
      </c>
      <c r="G116" s="26" t="s">
        <v>104</v>
      </c>
      <c r="H116" s="10" t="str">
        <f aca="false">IF(AND(EXACT(D116,E116),EXACT(E116,F116),EXACT(F116,G116)),"Same","DIFF")</f>
        <v>DIFF</v>
      </c>
    </row>
    <row r="117" customFormat="false" ht="15" hidden="false" customHeight="false" outlineLevel="0" collapsed="false">
      <c r="A117" s="26" t="s">
        <v>390</v>
      </c>
      <c r="B117" s="26" t="s">
        <v>339</v>
      </c>
      <c r="C117" s="26"/>
      <c r="D117" s="26" t="s">
        <v>320</v>
      </c>
      <c r="E117" s="26" t="s">
        <v>104</v>
      </c>
      <c r="F117" s="26" t="s">
        <v>104</v>
      </c>
      <c r="G117" s="26" t="s">
        <v>104</v>
      </c>
      <c r="H117" s="10" t="str">
        <f aca="false">IF(AND(EXACT(D117,E117),EXACT(E117,F117),EXACT(F117,G117)),"Same","DIFF")</f>
        <v>DIFF</v>
      </c>
    </row>
    <row r="118" customFormat="false" ht="15" hidden="false" customHeight="false" outlineLevel="0" collapsed="false">
      <c r="A118" s="26" t="s">
        <v>390</v>
      </c>
      <c r="B118" s="26" t="s">
        <v>340</v>
      </c>
      <c r="C118" s="26"/>
      <c r="D118" s="26" t="s">
        <v>320</v>
      </c>
      <c r="E118" s="26" t="s">
        <v>104</v>
      </c>
      <c r="F118" s="26" t="s">
        <v>104</v>
      </c>
      <c r="G118" s="26" t="s">
        <v>104</v>
      </c>
      <c r="H118" s="10" t="str">
        <f aca="false">IF(AND(EXACT(D118,E118),EXACT(E118,F118),EXACT(F118,G118)),"Same","DIFF")</f>
        <v>DIFF</v>
      </c>
    </row>
    <row r="119" customFormat="false" ht="15" hidden="false" customHeight="false" outlineLevel="0" collapsed="false">
      <c r="A119" s="26" t="s">
        <v>390</v>
      </c>
      <c r="B119" s="26" t="s">
        <v>341</v>
      </c>
      <c r="C119" s="26"/>
      <c r="D119" s="26" t="s">
        <v>320</v>
      </c>
      <c r="E119" s="26" t="s">
        <v>104</v>
      </c>
      <c r="F119" s="26" t="s">
        <v>104</v>
      </c>
      <c r="G119" s="26" t="s">
        <v>104</v>
      </c>
      <c r="H119" s="10" t="str">
        <f aca="false">IF(AND(EXACT(D119,E119),EXACT(E119,F119),EXACT(F119,G119)),"Same","DIFF")</f>
        <v>DIFF</v>
      </c>
    </row>
    <row r="120" customFormat="false" ht="15" hidden="false" customHeight="false" outlineLevel="0" collapsed="false">
      <c r="A120" s="26" t="s">
        <v>390</v>
      </c>
      <c r="B120" s="26" t="s">
        <v>342</v>
      </c>
      <c r="C120" s="26"/>
      <c r="D120" s="26" t="s">
        <v>320</v>
      </c>
      <c r="E120" s="26" t="s">
        <v>104</v>
      </c>
      <c r="F120" s="26" t="s">
        <v>104</v>
      </c>
      <c r="G120" s="26" t="s">
        <v>104</v>
      </c>
      <c r="H120" s="10" t="str">
        <f aca="false">IF(AND(EXACT(D120,E120),EXACT(E120,F120),EXACT(F120,G120)),"Same","DIFF")</f>
        <v>DIFF</v>
      </c>
    </row>
    <row r="121" customFormat="false" ht="15" hidden="false" customHeight="false" outlineLevel="0" collapsed="false">
      <c r="A121" s="26" t="s">
        <v>390</v>
      </c>
      <c r="B121" s="26" t="s">
        <v>344</v>
      </c>
      <c r="C121" s="26"/>
      <c r="D121" s="26" t="s">
        <v>320</v>
      </c>
      <c r="E121" s="26" t="s">
        <v>104</v>
      </c>
      <c r="F121" s="26" t="s">
        <v>104</v>
      </c>
      <c r="G121" s="26" t="s">
        <v>104</v>
      </c>
      <c r="H121" s="10" t="str">
        <f aca="false">IF(AND(EXACT(D121,E121),EXACT(E121,F121),EXACT(F121,G121)),"Same","DIFF")</f>
        <v>DIFF</v>
      </c>
    </row>
    <row r="122" customFormat="false" ht="15" hidden="false" customHeight="false" outlineLevel="0" collapsed="false">
      <c r="A122" s="26" t="s">
        <v>390</v>
      </c>
      <c r="B122" s="26" t="s">
        <v>346</v>
      </c>
      <c r="C122" s="26"/>
      <c r="D122" s="26" t="s">
        <v>320</v>
      </c>
      <c r="E122" s="26" t="s">
        <v>104</v>
      </c>
      <c r="F122" s="26" t="s">
        <v>104</v>
      </c>
      <c r="G122" s="26" t="s">
        <v>104</v>
      </c>
      <c r="H122" s="10" t="str">
        <f aca="false">IF(AND(EXACT(D122,E122),EXACT(E122,F122),EXACT(F122,G122)),"Same","DIFF")</f>
        <v>DIFF</v>
      </c>
    </row>
    <row r="123" customFormat="false" ht="15" hidden="false" customHeight="false" outlineLevel="0" collapsed="false">
      <c r="A123" s="26" t="s">
        <v>390</v>
      </c>
      <c r="B123" s="26" t="s">
        <v>348</v>
      </c>
      <c r="C123" s="26"/>
      <c r="D123" s="26" t="s">
        <v>320</v>
      </c>
      <c r="E123" s="26" t="s">
        <v>104</v>
      </c>
      <c r="F123" s="26" t="s">
        <v>104</v>
      </c>
      <c r="G123" s="26" t="s">
        <v>104</v>
      </c>
      <c r="H123" s="10" t="str">
        <f aca="false">IF(AND(EXACT(D123,E123),EXACT(E123,F123),EXACT(F123,G123)),"Same","DIFF")</f>
        <v>DIFF</v>
      </c>
    </row>
    <row r="124" customFormat="false" ht="15" hidden="false" customHeight="false" outlineLevel="0" collapsed="false">
      <c r="A124" s="26" t="s">
        <v>390</v>
      </c>
      <c r="B124" s="26" t="s">
        <v>349</v>
      </c>
      <c r="C124" s="26"/>
      <c r="D124" s="26" t="s">
        <v>320</v>
      </c>
      <c r="E124" s="26" t="s">
        <v>104</v>
      </c>
      <c r="F124" s="26" t="s">
        <v>104</v>
      </c>
      <c r="G124" s="26" t="s">
        <v>104</v>
      </c>
      <c r="H124" s="10" t="str">
        <f aca="false">IF(AND(EXACT(D124,E124),EXACT(E124,F124),EXACT(F124,G124)),"Same","DIFF")</f>
        <v>DIFF</v>
      </c>
    </row>
    <row r="125" customFormat="false" ht="15" hidden="false" customHeight="false" outlineLevel="0" collapsed="false">
      <c r="A125" s="26" t="s">
        <v>392</v>
      </c>
      <c r="B125" s="26" t="s">
        <v>355</v>
      </c>
      <c r="C125" s="26"/>
      <c r="D125" s="26" t="s">
        <v>104</v>
      </c>
      <c r="E125" s="26" t="s">
        <v>104</v>
      </c>
      <c r="F125" s="26" t="s">
        <v>356</v>
      </c>
      <c r="G125" s="26" t="s">
        <v>356</v>
      </c>
      <c r="H125" s="10" t="str">
        <f aca="false">IF(AND(EXACT(D125,E125),EXACT(E125,F125),EXACT(F125,G125)),"Same","DIFF")</f>
        <v>DIFF</v>
      </c>
    </row>
    <row r="126" customFormat="false" ht="15" hidden="false" customHeight="false" outlineLevel="0" collapsed="false">
      <c r="A126" s="26" t="s">
        <v>392</v>
      </c>
      <c r="B126" s="26" t="s">
        <v>321</v>
      </c>
      <c r="C126" s="26"/>
      <c r="D126" s="26" t="s">
        <v>104</v>
      </c>
      <c r="E126" s="26" t="s">
        <v>104</v>
      </c>
      <c r="F126" s="26" t="s">
        <v>356</v>
      </c>
      <c r="G126" s="26" t="s">
        <v>356</v>
      </c>
      <c r="H126" s="10" t="str">
        <f aca="false">IF(AND(EXACT(D126,E126),EXACT(E126,F126),EXACT(F126,G126)),"Same","DIFF")</f>
        <v>DIFF</v>
      </c>
    </row>
    <row r="127" customFormat="false" ht="15" hidden="false" customHeight="false" outlineLevel="0" collapsed="false">
      <c r="A127" s="26" t="s">
        <v>392</v>
      </c>
      <c r="B127" s="26" t="s">
        <v>318</v>
      </c>
      <c r="C127" s="26"/>
      <c r="D127" s="26" t="s">
        <v>104</v>
      </c>
      <c r="E127" s="26" t="s">
        <v>104</v>
      </c>
      <c r="F127" s="26" t="s">
        <v>356</v>
      </c>
      <c r="G127" s="26" t="s">
        <v>356</v>
      </c>
      <c r="H127" s="10" t="str">
        <f aca="false">IF(AND(EXACT(D127,E127),EXACT(E127,F127),EXACT(F127,G127)),"Same","DIFF")</f>
        <v>DIFF</v>
      </c>
    </row>
    <row r="128" customFormat="false" ht="15" hidden="false" customHeight="false" outlineLevel="0" collapsed="false">
      <c r="A128" s="26" t="s">
        <v>392</v>
      </c>
      <c r="B128" s="26" t="s">
        <v>325</v>
      </c>
      <c r="C128" s="26"/>
      <c r="D128" s="26" t="s">
        <v>104</v>
      </c>
      <c r="E128" s="26" t="s">
        <v>104</v>
      </c>
      <c r="F128" s="26" t="s">
        <v>356</v>
      </c>
      <c r="G128" s="26" t="s">
        <v>356</v>
      </c>
      <c r="H128" s="10" t="str">
        <f aca="false">IF(AND(EXACT(D128,E128),EXACT(E128,F128),EXACT(F128,G128)),"Same","DIFF")</f>
        <v>DIFF</v>
      </c>
    </row>
    <row r="129" customFormat="false" ht="15" hidden="false" customHeight="false" outlineLevel="0" collapsed="false">
      <c r="A129" s="26" t="s">
        <v>392</v>
      </c>
      <c r="B129" s="26" t="s">
        <v>373</v>
      </c>
      <c r="C129" s="26"/>
      <c r="D129" s="26" t="s">
        <v>104</v>
      </c>
      <c r="E129" s="26" t="s">
        <v>104</v>
      </c>
      <c r="F129" s="26" t="s">
        <v>356</v>
      </c>
      <c r="G129" s="26" t="s">
        <v>356</v>
      </c>
      <c r="H129" s="10" t="str">
        <f aca="false">IF(AND(EXACT(D129,E129),EXACT(E129,F129),EXACT(F129,G129)),"Same","DIFF")</f>
        <v>DIFF</v>
      </c>
    </row>
    <row r="130" customFormat="false" ht="15" hidden="false" customHeight="false" outlineLevel="0" collapsed="false">
      <c r="A130" s="26" t="s">
        <v>392</v>
      </c>
      <c r="B130" s="26" t="s">
        <v>344</v>
      </c>
      <c r="C130" s="26"/>
      <c r="D130" s="26" t="s">
        <v>104</v>
      </c>
      <c r="E130" s="26" t="s">
        <v>104</v>
      </c>
      <c r="F130" s="26" t="s">
        <v>356</v>
      </c>
      <c r="G130" s="26" t="s">
        <v>356</v>
      </c>
      <c r="H130" s="10" t="str">
        <f aca="false">IF(AND(EXACT(D130,E130),EXACT(E130,F130),EXACT(F130,G130)),"Same","DIFF")</f>
        <v>DIFF</v>
      </c>
    </row>
    <row r="131" customFormat="false" ht="15" hidden="false" customHeight="false" outlineLevel="0" collapsed="false">
      <c r="A131" s="26" t="s">
        <v>392</v>
      </c>
      <c r="B131" s="26" t="s">
        <v>364</v>
      </c>
      <c r="C131" s="26"/>
      <c r="D131" s="26" t="s">
        <v>104</v>
      </c>
      <c r="E131" s="26" t="s">
        <v>104</v>
      </c>
      <c r="F131" s="26" t="s">
        <v>356</v>
      </c>
      <c r="G131" s="26" t="s">
        <v>356</v>
      </c>
      <c r="H131" s="10" t="str">
        <f aca="false">IF(AND(EXACT(D131,E131),EXACT(E131,F131),EXACT(F131,G131)),"Same","DIFF")</f>
        <v>DIFF</v>
      </c>
    </row>
    <row r="132" customFormat="false" ht="15" hidden="false" customHeight="false" outlineLevel="0" collapsed="false">
      <c r="A132" s="26" t="s">
        <v>392</v>
      </c>
      <c r="B132" s="26" t="s">
        <v>348</v>
      </c>
      <c r="C132" s="26"/>
      <c r="D132" s="26" t="s">
        <v>104</v>
      </c>
      <c r="E132" s="26" t="s">
        <v>356</v>
      </c>
      <c r="F132" s="26" t="s">
        <v>104</v>
      </c>
      <c r="G132" s="26" t="s">
        <v>104</v>
      </c>
      <c r="H132" s="10" t="str">
        <f aca="false">IF(AND(EXACT(D132,E132),EXACT(E132,F132),EXACT(F132,G132)),"Same","DIFF")</f>
        <v>DIFF</v>
      </c>
    </row>
    <row r="133" customFormat="false" ht="15" hidden="false" customHeight="false" outlineLevel="0" collapsed="false">
      <c r="A133" s="26" t="s">
        <v>393</v>
      </c>
      <c r="B133" s="26" t="s">
        <v>394</v>
      </c>
      <c r="C133" s="26"/>
      <c r="D133" s="26" t="s">
        <v>356</v>
      </c>
      <c r="E133" s="26" t="s">
        <v>356</v>
      </c>
      <c r="F133" s="26" t="s">
        <v>356</v>
      </c>
      <c r="G133" s="26" t="s">
        <v>356</v>
      </c>
      <c r="H133" s="10" t="str">
        <f aca="false">IF(AND(EXACT(D133,E133),EXACT(E133,F133),EXACT(F133,G133)),"Same","DIFF")</f>
        <v>Same</v>
      </c>
    </row>
    <row r="134" customFormat="false" ht="15" hidden="false" customHeight="false" outlineLevel="0" collapsed="false">
      <c r="A134" s="26" t="s">
        <v>393</v>
      </c>
      <c r="B134" s="26" t="s">
        <v>395</v>
      </c>
      <c r="C134" s="26"/>
      <c r="D134" s="26" t="s">
        <v>356</v>
      </c>
      <c r="E134" s="26" t="s">
        <v>356</v>
      </c>
      <c r="F134" s="26" t="s">
        <v>356</v>
      </c>
      <c r="G134" s="26" t="s">
        <v>356</v>
      </c>
      <c r="H134" s="10" t="str">
        <f aca="false">IF(AND(EXACT(D134,E134),EXACT(E134,F134),EXACT(F134,G134)),"Same","DIFF")</f>
        <v>Same</v>
      </c>
    </row>
    <row r="135" customFormat="false" ht="15" hidden="false" customHeight="false" outlineLevel="0" collapsed="false">
      <c r="A135" s="26" t="s">
        <v>393</v>
      </c>
      <c r="B135" s="26" t="s">
        <v>396</v>
      </c>
      <c r="C135" s="26"/>
      <c r="D135" s="26" t="s">
        <v>356</v>
      </c>
      <c r="E135" s="26" t="s">
        <v>356</v>
      </c>
      <c r="F135" s="26" t="s">
        <v>356</v>
      </c>
      <c r="G135" s="26" t="s">
        <v>356</v>
      </c>
      <c r="H135" s="10" t="str">
        <f aca="false">IF(AND(EXACT(D135,E135),EXACT(E135,F135),EXACT(F135,G135)),"Same","DIFF")</f>
        <v>Same</v>
      </c>
    </row>
    <row r="136" customFormat="false" ht="15" hidden="false" customHeight="false" outlineLevel="0" collapsed="false">
      <c r="A136" s="26" t="s">
        <v>393</v>
      </c>
      <c r="B136" s="26" t="s">
        <v>367</v>
      </c>
      <c r="C136" s="26"/>
      <c r="D136" s="26" t="s">
        <v>356</v>
      </c>
      <c r="E136" s="26" t="s">
        <v>356</v>
      </c>
      <c r="F136" s="26" t="s">
        <v>356</v>
      </c>
      <c r="G136" s="26" t="s">
        <v>356</v>
      </c>
      <c r="H136" s="10" t="str">
        <f aca="false">IF(AND(EXACT(D136,E136),EXACT(E136,F136),EXACT(F136,G136)),"Same","DIFF")</f>
        <v>Same</v>
      </c>
    </row>
    <row r="137" customFormat="false" ht="15" hidden="false" customHeight="false" outlineLevel="0" collapsed="false">
      <c r="A137" s="26" t="s">
        <v>393</v>
      </c>
      <c r="B137" s="26" t="s">
        <v>355</v>
      </c>
      <c r="C137" s="26"/>
      <c r="D137" s="26" t="s">
        <v>356</v>
      </c>
      <c r="E137" s="26" t="s">
        <v>356</v>
      </c>
      <c r="F137" s="26" t="s">
        <v>356</v>
      </c>
      <c r="G137" s="26" t="s">
        <v>356</v>
      </c>
      <c r="H137" s="10" t="str">
        <f aca="false">IF(AND(EXACT(D137,E137),EXACT(E137,F137),EXACT(F137,G137)),"Same","DIFF")</f>
        <v>Same</v>
      </c>
    </row>
    <row r="138" customFormat="false" ht="15" hidden="false" customHeight="false" outlineLevel="0" collapsed="false">
      <c r="A138" s="26" t="s">
        <v>393</v>
      </c>
      <c r="B138" s="26" t="s">
        <v>369</v>
      </c>
      <c r="C138" s="26"/>
      <c r="D138" s="26" t="s">
        <v>104</v>
      </c>
      <c r="E138" s="26" t="s">
        <v>356</v>
      </c>
      <c r="F138" s="26" t="s">
        <v>104</v>
      </c>
      <c r="G138" s="26" t="s">
        <v>104</v>
      </c>
      <c r="H138" s="10" t="str">
        <f aca="false">IF(AND(EXACT(D138,E138),EXACT(E138,F138),EXACT(F138,G138)),"Same","DIFF")</f>
        <v>DIFF</v>
      </c>
    </row>
    <row r="139" customFormat="false" ht="15" hidden="false" customHeight="false" outlineLevel="0" collapsed="false">
      <c r="A139" s="26" t="s">
        <v>393</v>
      </c>
      <c r="B139" s="26" t="s">
        <v>397</v>
      </c>
      <c r="C139" s="26"/>
      <c r="D139" s="26" t="s">
        <v>104</v>
      </c>
      <c r="E139" s="26" t="s">
        <v>104</v>
      </c>
      <c r="F139" s="26" t="s">
        <v>356</v>
      </c>
      <c r="G139" s="26" t="s">
        <v>104</v>
      </c>
      <c r="H139" s="10" t="str">
        <f aca="false">IF(AND(EXACT(D139,E139),EXACT(E139,F139),EXACT(F139,G139)),"Same","DIFF")</f>
        <v>DIFF</v>
      </c>
    </row>
    <row r="140" customFormat="false" ht="15" hidden="false" customHeight="false" outlineLevel="0" collapsed="false">
      <c r="A140" s="26" t="s">
        <v>393</v>
      </c>
      <c r="B140" s="26" t="s">
        <v>321</v>
      </c>
      <c r="C140" s="26"/>
      <c r="D140" s="26" t="s">
        <v>104</v>
      </c>
      <c r="E140" s="26" t="s">
        <v>104</v>
      </c>
      <c r="F140" s="26" t="s">
        <v>356</v>
      </c>
      <c r="G140" s="26" t="s">
        <v>104</v>
      </c>
      <c r="H140" s="10" t="str">
        <f aca="false">IF(AND(EXACT(D140,E140),EXACT(E140,F140),EXACT(F140,G140)),"Same","DIFF")</f>
        <v>DIFF</v>
      </c>
    </row>
    <row r="141" customFormat="false" ht="15" hidden="false" customHeight="false" outlineLevel="0" collapsed="false">
      <c r="A141" s="26" t="s">
        <v>393</v>
      </c>
      <c r="B141" s="26" t="s">
        <v>398</v>
      </c>
      <c r="C141" s="26"/>
      <c r="D141" s="26" t="s">
        <v>356</v>
      </c>
      <c r="E141" s="26" t="s">
        <v>356</v>
      </c>
      <c r="F141" s="26" t="s">
        <v>356</v>
      </c>
      <c r="G141" s="26" t="s">
        <v>356</v>
      </c>
      <c r="H141" s="10" t="str">
        <f aca="false">IF(AND(EXACT(D141,E141),EXACT(E141,F141),EXACT(F141,G141)),"Same","DIFF")</f>
        <v>Same</v>
      </c>
    </row>
    <row r="142" customFormat="false" ht="15" hidden="false" customHeight="false" outlineLevel="0" collapsed="false">
      <c r="A142" s="26" t="s">
        <v>393</v>
      </c>
      <c r="B142" s="26" t="s">
        <v>399</v>
      </c>
      <c r="C142" s="26"/>
      <c r="D142" s="26" t="s">
        <v>104</v>
      </c>
      <c r="E142" s="26" t="s">
        <v>104</v>
      </c>
      <c r="F142" s="26" t="s">
        <v>320</v>
      </c>
      <c r="G142" s="26" t="s">
        <v>104</v>
      </c>
      <c r="H142" s="10" t="str">
        <f aca="false">IF(AND(EXACT(D142,E142),EXACT(E142,F142),EXACT(F142,G142)),"Same","DIFF")</f>
        <v>DIFF</v>
      </c>
    </row>
    <row r="143" customFormat="false" ht="15" hidden="false" customHeight="false" outlineLevel="0" collapsed="false">
      <c r="A143" s="26" t="s">
        <v>393</v>
      </c>
      <c r="B143" s="26" t="s">
        <v>325</v>
      </c>
      <c r="C143" s="26"/>
      <c r="D143" s="26" t="s">
        <v>104</v>
      </c>
      <c r="E143" s="26" t="s">
        <v>104</v>
      </c>
      <c r="F143" s="26" t="s">
        <v>356</v>
      </c>
      <c r="G143" s="26" t="s">
        <v>104</v>
      </c>
      <c r="H143" s="10" t="str">
        <f aca="false">IF(AND(EXACT(D143,E143),EXACT(E143,F143),EXACT(F143,G143)),"Same","DIFF")</f>
        <v>DIFF</v>
      </c>
    </row>
    <row r="144" customFormat="false" ht="15" hidden="false" customHeight="false" outlineLevel="0" collapsed="false">
      <c r="A144" s="26" t="s">
        <v>393</v>
      </c>
      <c r="B144" s="26" t="s">
        <v>373</v>
      </c>
      <c r="C144" s="26"/>
      <c r="D144" s="26" t="s">
        <v>356</v>
      </c>
      <c r="E144" s="26" t="s">
        <v>356</v>
      </c>
      <c r="F144" s="26" t="s">
        <v>356</v>
      </c>
      <c r="G144" s="26" t="s">
        <v>356</v>
      </c>
      <c r="H144" s="10" t="str">
        <f aca="false">IF(AND(EXACT(D144,E144),EXACT(E144,F144),EXACT(F144,G144)),"Same","DIFF")</f>
        <v>Same</v>
      </c>
    </row>
    <row r="145" customFormat="false" ht="15" hidden="false" customHeight="false" outlineLevel="0" collapsed="false">
      <c r="A145" s="26" t="s">
        <v>393</v>
      </c>
      <c r="B145" s="26" t="s">
        <v>400</v>
      </c>
      <c r="C145" s="26"/>
      <c r="D145" s="26" t="s">
        <v>104</v>
      </c>
      <c r="E145" s="26" t="s">
        <v>320</v>
      </c>
      <c r="F145" s="26" t="s">
        <v>320</v>
      </c>
      <c r="G145" s="26" t="s">
        <v>104</v>
      </c>
      <c r="H145" s="10" t="str">
        <f aca="false">IF(AND(EXACT(D145,E145),EXACT(E145,F145),EXACT(F145,G145)),"Same","DIFF")</f>
        <v>DIFF</v>
      </c>
    </row>
    <row r="146" customFormat="false" ht="15" hidden="false" customHeight="false" outlineLevel="0" collapsed="false">
      <c r="A146" s="26" t="s">
        <v>393</v>
      </c>
      <c r="B146" s="26" t="s">
        <v>401</v>
      </c>
      <c r="C146" s="26"/>
      <c r="D146" s="26" t="s">
        <v>356</v>
      </c>
      <c r="E146" s="26" t="s">
        <v>356</v>
      </c>
      <c r="F146" s="26" t="s">
        <v>356</v>
      </c>
      <c r="G146" s="26" t="s">
        <v>356</v>
      </c>
      <c r="H146" s="10" t="str">
        <f aca="false">IF(AND(EXACT(D146,E146),EXACT(E146,F146),EXACT(F146,G146)),"Same","DIFF")</f>
        <v>Same</v>
      </c>
    </row>
    <row r="147" customFormat="false" ht="15" hidden="false" customHeight="false" outlineLevel="0" collapsed="false">
      <c r="A147" s="26" t="s">
        <v>393</v>
      </c>
      <c r="B147" s="26" t="s">
        <v>327</v>
      </c>
      <c r="C147" s="26"/>
      <c r="D147" s="26" t="s">
        <v>356</v>
      </c>
      <c r="E147" s="26" t="s">
        <v>356</v>
      </c>
      <c r="F147" s="26" t="s">
        <v>356</v>
      </c>
      <c r="G147" s="26" t="s">
        <v>356</v>
      </c>
      <c r="H147" s="10" t="str">
        <f aca="false">IF(AND(EXACT(D147,E147),EXACT(E147,F147),EXACT(F147,G147)),"Same","DIFF")</f>
        <v>Same</v>
      </c>
    </row>
    <row r="148" customFormat="false" ht="15" hidden="false" customHeight="false" outlineLevel="0" collapsed="false">
      <c r="A148" s="26" t="s">
        <v>393</v>
      </c>
      <c r="B148" s="26" t="s">
        <v>328</v>
      </c>
      <c r="C148" s="26"/>
      <c r="D148" s="26" t="s">
        <v>356</v>
      </c>
      <c r="E148" s="26" t="s">
        <v>356</v>
      </c>
      <c r="F148" s="26" t="s">
        <v>356</v>
      </c>
      <c r="G148" s="26" t="s">
        <v>356</v>
      </c>
      <c r="H148" s="10" t="str">
        <f aca="false">IF(AND(EXACT(D148,E148),EXACT(E148,F148),EXACT(F148,G148)),"Same","DIFF")</f>
        <v>Same</v>
      </c>
    </row>
    <row r="149" customFormat="false" ht="15" hidden="false" customHeight="false" outlineLevel="0" collapsed="false">
      <c r="A149" s="26" t="s">
        <v>393</v>
      </c>
      <c r="B149" s="26" t="s">
        <v>330</v>
      </c>
      <c r="C149" s="26"/>
      <c r="D149" s="26" t="s">
        <v>356</v>
      </c>
      <c r="E149" s="26" t="s">
        <v>356</v>
      </c>
      <c r="F149" s="26" t="s">
        <v>356</v>
      </c>
      <c r="G149" s="26" t="s">
        <v>356</v>
      </c>
      <c r="H149" s="10" t="str">
        <f aca="false">IF(AND(EXACT(D149,E149),EXACT(E149,F149),EXACT(F149,G149)),"Same","DIFF")</f>
        <v>Same</v>
      </c>
    </row>
    <row r="150" customFormat="false" ht="15" hidden="false" customHeight="false" outlineLevel="0" collapsed="false">
      <c r="A150" s="26" t="s">
        <v>393</v>
      </c>
      <c r="B150" s="26" t="s">
        <v>331</v>
      </c>
      <c r="C150" s="26"/>
      <c r="D150" s="26" t="s">
        <v>320</v>
      </c>
      <c r="E150" s="26" t="s">
        <v>320</v>
      </c>
      <c r="F150" s="26" t="s">
        <v>104</v>
      </c>
      <c r="G150" s="26" t="s">
        <v>104</v>
      </c>
      <c r="H150" s="10" t="str">
        <f aca="false">IF(AND(EXACT(D150,E150),EXACT(E150,F150),EXACT(F150,G150)),"Same","DIFF")</f>
        <v>DIFF</v>
      </c>
    </row>
    <row r="151" customFormat="false" ht="15" hidden="false" customHeight="false" outlineLevel="0" collapsed="false">
      <c r="A151" s="26" t="s">
        <v>393</v>
      </c>
      <c r="B151" s="26" t="s">
        <v>375</v>
      </c>
      <c r="C151" s="26"/>
      <c r="D151" s="26" t="s">
        <v>356</v>
      </c>
      <c r="E151" s="26" t="s">
        <v>356</v>
      </c>
      <c r="F151" s="26" t="s">
        <v>356</v>
      </c>
      <c r="G151" s="26" t="s">
        <v>356</v>
      </c>
      <c r="H151" s="10" t="str">
        <f aca="false">IF(AND(EXACT(D151,E151),EXACT(E151,F151),EXACT(F151,G151)),"Same","DIFF")</f>
        <v>Same</v>
      </c>
    </row>
    <row r="152" customFormat="false" ht="15" hidden="false" customHeight="false" outlineLevel="0" collapsed="false">
      <c r="A152" s="26" t="s">
        <v>393</v>
      </c>
      <c r="B152" s="26" t="s">
        <v>377</v>
      </c>
      <c r="C152" s="26"/>
      <c r="D152" s="26" t="s">
        <v>104</v>
      </c>
      <c r="E152" s="26" t="s">
        <v>104</v>
      </c>
      <c r="F152" s="26" t="s">
        <v>104</v>
      </c>
      <c r="G152" s="26" t="s">
        <v>320</v>
      </c>
      <c r="H152" s="10" t="str">
        <f aca="false">IF(AND(EXACT(D152,E152),EXACT(E152,F152),EXACT(F152,G152)),"Same","DIFF")</f>
        <v>DIFF</v>
      </c>
    </row>
    <row r="153" customFormat="false" ht="15" hidden="false" customHeight="false" outlineLevel="0" collapsed="false">
      <c r="A153" s="26" t="s">
        <v>393</v>
      </c>
      <c r="B153" s="26" t="s">
        <v>402</v>
      </c>
      <c r="C153" s="26"/>
      <c r="D153" s="26" t="s">
        <v>356</v>
      </c>
      <c r="E153" s="26" t="s">
        <v>356</v>
      </c>
      <c r="F153" s="26" t="s">
        <v>356</v>
      </c>
      <c r="G153" s="26" t="s">
        <v>356</v>
      </c>
      <c r="H153" s="10" t="str">
        <f aca="false">IF(AND(EXACT(D153,E153),EXACT(E153,F153),EXACT(F153,G153)),"Same","DIFF")</f>
        <v>Same</v>
      </c>
    </row>
    <row r="154" customFormat="false" ht="15" hidden="false" customHeight="false" outlineLevel="0" collapsed="false">
      <c r="A154" s="26" t="s">
        <v>393</v>
      </c>
      <c r="B154" s="26" t="s">
        <v>378</v>
      </c>
      <c r="C154" s="26"/>
      <c r="D154" s="26" t="s">
        <v>356</v>
      </c>
      <c r="E154" s="26" t="s">
        <v>356</v>
      </c>
      <c r="F154" s="26" t="s">
        <v>356</v>
      </c>
      <c r="G154" s="26" t="s">
        <v>356</v>
      </c>
      <c r="H154" s="10" t="str">
        <f aca="false">IF(AND(EXACT(D154,E154),EXACT(E154,F154),EXACT(F154,G154)),"Same","DIFF")</f>
        <v>Same</v>
      </c>
    </row>
    <row r="155" customFormat="false" ht="15" hidden="false" customHeight="false" outlineLevel="0" collapsed="false">
      <c r="A155" s="26" t="s">
        <v>393</v>
      </c>
      <c r="B155" s="26" t="s">
        <v>403</v>
      </c>
      <c r="C155" s="26"/>
      <c r="D155" s="26" t="s">
        <v>356</v>
      </c>
      <c r="E155" s="26" t="s">
        <v>356</v>
      </c>
      <c r="F155" s="26" t="s">
        <v>356</v>
      </c>
      <c r="G155" s="26" t="s">
        <v>356</v>
      </c>
      <c r="H155" s="10" t="str">
        <f aca="false">IF(AND(EXACT(D155,E155),EXACT(E155,F155),EXACT(F155,G155)),"Same","DIFF")</f>
        <v>Same</v>
      </c>
    </row>
    <row r="156" customFormat="false" ht="15" hidden="false" customHeight="false" outlineLevel="0" collapsed="false">
      <c r="A156" s="26" t="s">
        <v>393</v>
      </c>
      <c r="B156" s="26" t="s">
        <v>404</v>
      </c>
      <c r="C156" s="26"/>
      <c r="D156" s="26" t="s">
        <v>356</v>
      </c>
      <c r="E156" s="26" t="s">
        <v>356</v>
      </c>
      <c r="F156" s="26" t="s">
        <v>356</v>
      </c>
      <c r="G156" s="26" t="s">
        <v>356</v>
      </c>
      <c r="H156" s="10" t="str">
        <f aca="false">IF(AND(EXACT(D156,E156),EXACT(E156,F156),EXACT(F156,G156)),"Same","DIFF")</f>
        <v>Same</v>
      </c>
    </row>
    <row r="157" customFormat="false" ht="15" hidden="false" customHeight="false" outlineLevel="0" collapsed="false">
      <c r="A157" s="26" t="s">
        <v>393</v>
      </c>
      <c r="B157" s="26" t="s">
        <v>379</v>
      </c>
      <c r="C157" s="26"/>
      <c r="D157" s="26" t="s">
        <v>356</v>
      </c>
      <c r="E157" s="26" t="s">
        <v>356</v>
      </c>
      <c r="F157" s="26" t="s">
        <v>356</v>
      </c>
      <c r="G157" s="26" t="s">
        <v>356</v>
      </c>
      <c r="H157" s="10" t="str">
        <f aca="false">IF(AND(EXACT(D157,E157),EXACT(E157,F157),EXACT(F157,G157)),"Same","DIFF")</f>
        <v>Same</v>
      </c>
    </row>
    <row r="158" customFormat="false" ht="15" hidden="false" customHeight="false" outlineLevel="0" collapsed="false">
      <c r="A158" s="26" t="s">
        <v>393</v>
      </c>
      <c r="B158" s="26" t="s">
        <v>405</v>
      </c>
      <c r="C158" s="26"/>
      <c r="D158" s="26" t="s">
        <v>356</v>
      </c>
      <c r="E158" s="26" t="s">
        <v>356</v>
      </c>
      <c r="F158" s="26" t="s">
        <v>356</v>
      </c>
      <c r="G158" s="26" t="s">
        <v>356</v>
      </c>
      <c r="H158" s="10" t="str">
        <f aca="false">IF(AND(EXACT(D158,E158),EXACT(E158,F158),EXACT(F158,G158)),"Same","DIFF")</f>
        <v>Same</v>
      </c>
    </row>
    <row r="159" customFormat="false" ht="15" hidden="false" customHeight="false" outlineLevel="0" collapsed="false">
      <c r="A159" s="26" t="s">
        <v>393</v>
      </c>
      <c r="B159" s="26" t="s">
        <v>406</v>
      </c>
      <c r="C159" s="26"/>
      <c r="D159" s="26" t="s">
        <v>356</v>
      </c>
      <c r="E159" s="26" t="s">
        <v>356</v>
      </c>
      <c r="F159" s="26" t="s">
        <v>356</v>
      </c>
      <c r="G159" s="26" t="s">
        <v>356</v>
      </c>
      <c r="H159" s="10" t="str">
        <f aca="false">IF(AND(EXACT(D159,E159),EXACT(E159,F159),EXACT(F159,G159)),"Same","DIFF")</f>
        <v>Same</v>
      </c>
    </row>
    <row r="160" customFormat="false" ht="15" hidden="false" customHeight="false" outlineLevel="0" collapsed="false">
      <c r="A160" s="26" t="s">
        <v>393</v>
      </c>
      <c r="B160" s="26" t="s">
        <v>407</v>
      </c>
      <c r="C160" s="26"/>
      <c r="D160" s="26" t="s">
        <v>356</v>
      </c>
      <c r="E160" s="26" t="s">
        <v>356</v>
      </c>
      <c r="F160" s="26" t="s">
        <v>356</v>
      </c>
      <c r="G160" s="26" t="s">
        <v>356</v>
      </c>
      <c r="H160" s="10" t="str">
        <f aca="false">IF(AND(EXACT(D160,E160),EXACT(E160,F160),EXACT(F160,G160)),"Same","DIFF")</f>
        <v>Same</v>
      </c>
    </row>
    <row r="161" customFormat="false" ht="15" hidden="false" customHeight="false" outlineLevel="0" collapsed="false">
      <c r="A161" s="26" t="s">
        <v>393</v>
      </c>
      <c r="B161" s="26" t="s">
        <v>408</v>
      </c>
      <c r="C161" s="26"/>
      <c r="D161" s="26" t="s">
        <v>356</v>
      </c>
      <c r="E161" s="26" t="s">
        <v>356</v>
      </c>
      <c r="F161" s="26" t="s">
        <v>356</v>
      </c>
      <c r="G161" s="26" t="s">
        <v>356</v>
      </c>
      <c r="H161" s="10" t="str">
        <f aca="false">IF(AND(EXACT(D161,E161),EXACT(E161,F161),EXACT(F161,G161)),"Same","DIFF")</f>
        <v>Same</v>
      </c>
    </row>
    <row r="162" customFormat="false" ht="15" hidden="false" customHeight="false" outlineLevel="0" collapsed="false">
      <c r="A162" s="26" t="s">
        <v>393</v>
      </c>
      <c r="B162" s="26" t="s">
        <v>409</v>
      </c>
      <c r="C162" s="26"/>
      <c r="D162" s="26" t="s">
        <v>104</v>
      </c>
      <c r="E162" s="26" t="s">
        <v>104</v>
      </c>
      <c r="F162" s="26" t="s">
        <v>356</v>
      </c>
      <c r="G162" s="26" t="s">
        <v>104</v>
      </c>
      <c r="H162" s="10" t="str">
        <f aca="false">IF(AND(EXACT(D162,E162),EXACT(E162,F162),EXACT(F162,G162)),"Same","DIFF")</f>
        <v>DIFF</v>
      </c>
    </row>
    <row r="163" customFormat="false" ht="15" hidden="false" customHeight="false" outlineLevel="0" collapsed="false">
      <c r="A163" s="26" t="s">
        <v>393</v>
      </c>
      <c r="B163" s="26" t="s">
        <v>410</v>
      </c>
      <c r="C163" s="26"/>
      <c r="D163" s="26" t="s">
        <v>356</v>
      </c>
      <c r="E163" s="26" t="s">
        <v>356</v>
      </c>
      <c r="F163" s="26" t="s">
        <v>356</v>
      </c>
      <c r="G163" s="26" t="s">
        <v>356</v>
      </c>
      <c r="H163" s="10" t="str">
        <f aca="false">IF(AND(EXACT(D163,E163),EXACT(E163,F163),EXACT(F163,G163)),"Same","DIFF")</f>
        <v>Same</v>
      </c>
    </row>
    <row r="164" customFormat="false" ht="15" hidden="false" customHeight="false" outlineLevel="0" collapsed="false">
      <c r="A164" s="26" t="s">
        <v>393</v>
      </c>
      <c r="B164" s="26" t="s">
        <v>411</v>
      </c>
      <c r="C164" s="26"/>
      <c r="D164" s="26" t="s">
        <v>356</v>
      </c>
      <c r="E164" s="26" t="s">
        <v>356</v>
      </c>
      <c r="F164" s="26" t="s">
        <v>356</v>
      </c>
      <c r="G164" s="26" t="s">
        <v>356</v>
      </c>
      <c r="H164" s="10" t="str">
        <f aca="false">IF(AND(EXACT(D164,E164),EXACT(E164,F164),EXACT(F164,G164)),"Same","DIFF")</f>
        <v>Same</v>
      </c>
    </row>
    <row r="165" customFormat="false" ht="15" hidden="false" customHeight="false" outlineLevel="0" collapsed="false">
      <c r="A165" s="26" t="s">
        <v>393</v>
      </c>
      <c r="B165" s="26" t="s">
        <v>412</v>
      </c>
      <c r="C165" s="26"/>
      <c r="D165" s="26" t="s">
        <v>356</v>
      </c>
      <c r="E165" s="26" t="s">
        <v>356</v>
      </c>
      <c r="F165" s="26" t="s">
        <v>356</v>
      </c>
      <c r="G165" s="26" t="s">
        <v>356</v>
      </c>
      <c r="H165" s="10" t="str">
        <f aca="false">IF(AND(EXACT(D165,E165),EXACT(E165,F165),EXACT(F165,G165)),"Same","DIFF")</f>
        <v>Same</v>
      </c>
    </row>
    <row r="166" customFormat="false" ht="15" hidden="false" customHeight="false" outlineLevel="0" collapsed="false">
      <c r="A166" s="26" t="s">
        <v>393</v>
      </c>
      <c r="B166" s="26" t="s">
        <v>413</v>
      </c>
      <c r="C166" s="26"/>
      <c r="D166" s="26" t="s">
        <v>356</v>
      </c>
      <c r="E166" s="26" t="s">
        <v>356</v>
      </c>
      <c r="F166" s="26" t="s">
        <v>356</v>
      </c>
      <c r="G166" s="26" t="s">
        <v>356</v>
      </c>
      <c r="H166" s="10" t="str">
        <f aca="false">IF(AND(EXACT(D166,E166),EXACT(E166,F166),EXACT(F166,G166)),"Same","DIFF")</f>
        <v>Same</v>
      </c>
    </row>
    <row r="167" customFormat="false" ht="15" hidden="false" customHeight="false" outlineLevel="0" collapsed="false">
      <c r="A167" s="26" t="s">
        <v>393</v>
      </c>
      <c r="B167" s="26" t="s">
        <v>414</v>
      </c>
      <c r="C167" s="26"/>
      <c r="D167" s="26" t="s">
        <v>356</v>
      </c>
      <c r="E167" s="26" t="s">
        <v>356</v>
      </c>
      <c r="F167" s="26" t="s">
        <v>356</v>
      </c>
      <c r="G167" s="26" t="s">
        <v>356</v>
      </c>
      <c r="H167" s="10" t="str">
        <f aca="false">IF(AND(EXACT(D167,E167),EXACT(E167,F167),EXACT(F167,G167)),"Same","DIFF")</f>
        <v>Same</v>
      </c>
    </row>
    <row r="168" customFormat="false" ht="15" hidden="false" customHeight="false" outlineLevel="0" collapsed="false">
      <c r="A168" s="26" t="s">
        <v>393</v>
      </c>
      <c r="B168" s="26" t="s">
        <v>415</v>
      </c>
      <c r="C168" s="26"/>
      <c r="D168" s="26" t="s">
        <v>356</v>
      </c>
      <c r="E168" s="26" t="s">
        <v>356</v>
      </c>
      <c r="F168" s="26" t="s">
        <v>356</v>
      </c>
      <c r="G168" s="26" t="s">
        <v>356</v>
      </c>
      <c r="H168" s="10" t="str">
        <f aca="false">IF(AND(EXACT(D168,E168),EXACT(E168,F168),EXACT(F168,G168)),"Same","DIFF")</f>
        <v>Same</v>
      </c>
    </row>
    <row r="169" customFormat="false" ht="15" hidden="false" customHeight="false" outlineLevel="0" collapsed="false">
      <c r="A169" s="26" t="s">
        <v>393</v>
      </c>
      <c r="B169" s="26" t="s">
        <v>389</v>
      </c>
      <c r="C169" s="26"/>
      <c r="D169" s="26" t="s">
        <v>104</v>
      </c>
      <c r="E169" s="26" t="s">
        <v>320</v>
      </c>
      <c r="F169" s="26" t="s">
        <v>104</v>
      </c>
      <c r="G169" s="26" t="s">
        <v>320</v>
      </c>
      <c r="H169" s="10" t="str">
        <f aca="false">IF(AND(EXACT(D169,E169),EXACT(E169,F169),EXACT(F169,G169)),"Same","DIFF")</f>
        <v>DIFF</v>
      </c>
    </row>
    <row r="170" customFormat="false" ht="15" hidden="false" customHeight="false" outlineLevel="0" collapsed="false">
      <c r="A170" s="26" t="s">
        <v>393</v>
      </c>
      <c r="B170" s="26" t="s">
        <v>338</v>
      </c>
      <c r="C170" s="26"/>
      <c r="D170" s="26" t="s">
        <v>320</v>
      </c>
      <c r="E170" s="26" t="s">
        <v>320</v>
      </c>
      <c r="F170" s="26" t="s">
        <v>320</v>
      </c>
      <c r="G170" s="26" t="s">
        <v>320</v>
      </c>
      <c r="H170" s="10" t="str">
        <f aca="false">IF(AND(EXACT(D170,E170),EXACT(E170,F170),EXACT(F170,G170)),"Same","DIFF")</f>
        <v>Same</v>
      </c>
    </row>
    <row r="171" customFormat="false" ht="15" hidden="false" customHeight="false" outlineLevel="0" collapsed="false">
      <c r="A171" s="26" t="s">
        <v>393</v>
      </c>
      <c r="B171" s="26" t="s">
        <v>416</v>
      </c>
      <c r="C171" s="26"/>
      <c r="D171" s="26" t="s">
        <v>104</v>
      </c>
      <c r="E171" s="26" t="s">
        <v>104</v>
      </c>
      <c r="F171" s="26" t="s">
        <v>104</v>
      </c>
      <c r="G171" s="26" t="s">
        <v>356</v>
      </c>
      <c r="H171" s="10" t="str">
        <f aca="false">IF(AND(EXACT(D171,E171),EXACT(E171,F171),EXACT(F171,G171)),"Same","DIFF")</f>
        <v>DIFF</v>
      </c>
    </row>
    <row r="172" customFormat="false" ht="15" hidden="false" customHeight="false" outlineLevel="0" collapsed="false">
      <c r="A172" s="26" t="s">
        <v>393</v>
      </c>
      <c r="B172" s="26" t="s">
        <v>358</v>
      </c>
      <c r="C172" s="26"/>
      <c r="D172" s="26" t="s">
        <v>356</v>
      </c>
      <c r="E172" s="26" t="s">
        <v>356</v>
      </c>
      <c r="F172" s="26" t="s">
        <v>356</v>
      </c>
      <c r="G172" s="26" t="s">
        <v>356</v>
      </c>
      <c r="H172" s="10" t="str">
        <f aca="false">IF(AND(EXACT(D172,E172),EXACT(E172,F172),EXACT(F172,G172)),"Same","DIFF")</f>
        <v>Same</v>
      </c>
    </row>
    <row r="173" customFormat="false" ht="15" hidden="false" customHeight="false" outlineLevel="0" collapsed="false">
      <c r="A173" s="26" t="s">
        <v>393</v>
      </c>
      <c r="B173" s="26" t="s">
        <v>417</v>
      </c>
      <c r="C173" s="26"/>
      <c r="D173" s="26" t="s">
        <v>104</v>
      </c>
      <c r="E173" s="26" t="s">
        <v>320</v>
      </c>
      <c r="F173" s="26" t="s">
        <v>104</v>
      </c>
      <c r="G173" s="26" t="s">
        <v>104</v>
      </c>
      <c r="H173" s="10" t="str">
        <f aca="false">IF(AND(EXACT(D173,E173),EXACT(E173,F173),EXACT(F173,G173)),"Same","DIFF")</f>
        <v>DIFF</v>
      </c>
    </row>
    <row r="174" customFormat="false" ht="15" hidden="false" customHeight="false" outlineLevel="0" collapsed="false">
      <c r="A174" s="26" t="s">
        <v>393</v>
      </c>
      <c r="B174" s="26" t="s">
        <v>418</v>
      </c>
      <c r="C174" s="26"/>
      <c r="D174" s="26" t="s">
        <v>356</v>
      </c>
      <c r="E174" s="26" t="s">
        <v>356</v>
      </c>
      <c r="F174" s="26" t="s">
        <v>356</v>
      </c>
      <c r="G174" s="26" t="s">
        <v>356</v>
      </c>
      <c r="H174" s="10" t="str">
        <f aca="false">IF(AND(EXACT(D174,E174),EXACT(E174,F174),EXACT(F174,G174)),"Same","DIFF")</f>
        <v>Same</v>
      </c>
    </row>
    <row r="175" customFormat="false" ht="15" hidden="false" customHeight="false" outlineLevel="0" collapsed="false">
      <c r="A175" s="26" t="s">
        <v>393</v>
      </c>
      <c r="B175" s="26" t="s">
        <v>419</v>
      </c>
      <c r="C175" s="26"/>
      <c r="D175" s="26" t="s">
        <v>104</v>
      </c>
      <c r="E175" s="26" t="s">
        <v>320</v>
      </c>
      <c r="F175" s="26" t="s">
        <v>104</v>
      </c>
      <c r="G175" s="26" t="s">
        <v>104</v>
      </c>
      <c r="H175" s="10" t="str">
        <f aca="false">IF(AND(EXACT(D175,E175),EXACT(E175,F175),EXACT(F175,G175)),"Same","DIFF")</f>
        <v>DIFF</v>
      </c>
    </row>
    <row r="176" customFormat="false" ht="15" hidden="false" customHeight="false" outlineLevel="0" collapsed="false">
      <c r="A176" s="26" t="s">
        <v>393</v>
      </c>
      <c r="B176" s="26" t="s">
        <v>420</v>
      </c>
      <c r="C176" s="26"/>
      <c r="D176" s="26" t="s">
        <v>356</v>
      </c>
      <c r="E176" s="26" t="s">
        <v>356</v>
      </c>
      <c r="F176" s="26" t="s">
        <v>356</v>
      </c>
      <c r="G176" s="26" t="s">
        <v>356</v>
      </c>
      <c r="H176" s="10" t="str">
        <f aca="false">IF(AND(EXACT(D176,E176),EXACT(E176,F176),EXACT(F176,G176)),"Same","DIFF")</f>
        <v>Same</v>
      </c>
    </row>
    <row r="177" customFormat="false" ht="15" hidden="false" customHeight="false" outlineLevel="0" collapsed="false">
      <c r="A177" s="26" t="s">
        <v>393</v>
      </c>
      <c r="B177" s="26" t="s">
        <v>421</v>
      </c>
      <c r="C177" s="26"/>
      <c r="D177" s="26" t="s">
        <v>356</v>
      </c>
      <c r="E177" s="26" t="s">
        <v>356</v>
      </c>
      <c r="F177" s="26" t="s">
        <v>356</v>
      </c>
      <c r="G177" s="26" t="s">
        <v>356</v>
      </c>
      <c r="H177" s="10" t="str">
        <f aca="false">IF(AND(EXACT(D177,E177),EXACT(E177,F177),EXACT(F177,G177)),"Same","DIFF")</f>
        <v>Same</v>
      </c>
    </row>
    <row r="178" customFormat="false" ht="15" hidden="false" customHeight="false" outlineLevel="0" collapsed="false">
      <c r="A178" s="26" t="s">
        <v>393</v>
      </c>
      <c r="B178" s="26" t="s">
        <v>422</v>
      </c>
      <c r="C178" s="26"/>
      <c r="D178" s="26" t="s">
        <v>356</v>
      </c>
      <c r="E178" s="26" t="s">
        <v>356</v>
      </c>
      <c r="F178" s="26" t="s">
        <v>356</v>
      </c>
      <c r="G178" s="26" t="s">
        <v>356</v>
      </c>
      <c r="H178" s="10" t="str">
        <f aca="false">IF(AND(EXACT(D178,E178),EXACT(E178,F178),EXACT(F178,G178)),"Same","DIFF")</f>
        <v>Same</v>
      </c>
    </row>
    <row r="179" customFormat="false" ht="15" hidden="false" customHeight="false" outlineLevel="0" collapsed="false">
      <c r="A179" s="26" t="s">
        <v>393</v>
      </c>
      <c r="B179" s="26" t="s">
        <v>423</v>
      </c>
      <c r="C179" s="26"/>
      <c r="D179" s="26" t="s">
        <v>356</v>
      </c>
      <c r="E179" s="26" t="s">
        <v>356</v>
      </c>
      <c r="F179" s="26" t="s">
        <v>356</v>
      </c>
      <c r="G179" s="26" t="s">
        <v>356</v>
      </c>
      <c r="H179" s="10" t="str">
        <f aca="false">IF(AND(EXACT(D179,E179),EXACT(E179,F179),EXACT(F179,G179)),"Same","DIFF")</f>
        <v>Same</v>
      </c>
    </row>
    <row r="180" customFormat="false" ht="15" hidden="false" customHeight="false" outlineLevel="0" collapsed="false">
      <c r="A180" s="26" t="s">
        <v>393</v>
      </c>
      <c r="B180" s="26" t="s">
        <v>424</v>
      </c>
      <c r="C180" s="26"/>
      <c r="D180" s="26" t="s">
        <v>104</v>
      </c>
      <c r="E180" s="26" t="s">
        <v>320</v>
      </c>
      <c r="F180" s="26" t="s">
        <v>104</v>
      </c>
      <c r="G180" s="26" t="s">
        <v>104</v>
      </c>
      <c r="H180" s="10" t="str">
        <f aca="false">IF(AND(EXACT(D180,E180),EXACT(E180,F180),EXACT(F180,G180)),"Same","DIFF")</f>
        <v>DIFF</v>
      </c>
    </row>
    <row r="181" customFormat="false" ht="15" hidden="false" customHeight="false" outlineLevel="0" collapsed="false">
      <c r="A181" s="26" t="s">
        <v>393</v>
      </c>
      <c r="B181" s="26" t="s">
        <v>425</v>
      </c>
      <c r="C181" s="26"/>
      <c r="D181" s="26" t="s">
        <v>356</v>
      </c>
      <c r="E181" s="26" t="s">
        <v>356</v>
      </c>
      <c r="F181" s="26" t="s">
        <v>356</v>
      </c>
      <c r="G181" s="26" t="s">
        <v>356</v>
      </c>
      <c r="H181" s="10" t="str">
        <f aca="false">IF(AND(EXACT(D181,E181),EXACT(E181,F181),EXACT(F181,G181)),"Same","DIFF")</f>
        <v>Same</v>
      </c>
    </row>
    <row r="182" customFormat="false" ht="15" hidden="false" customHeight="false" outlineLevel="0" collapsed="false">
      <c r="A182" s="26" t="s">
        <v>393</v>
      </c>
      <c r="B182" s="26" t="s">
        <v>382</v>
      </c>
      <c r="C182" s="26"/>
      <c r="D182" s="26" t="s">
        <v>356</v>
      </c>
      <c r="E182" s="26" t="s">
        <v>356</v>
      </c>
      <c r="F182" s="26" t="s">
        <v>356</v>
      </c>
      <c r="G182" s="26" t="s">
        <v>356</v>
      </c>
      <c r="H182" s="10" t="str">
        <f aca="false">IF(AND(EXACT(D182,E182),EXACT(E182,F182),EXACT(F182,G182)),"Same","DIFF")</f>
        <v>Same</v>
      </c>
    </row>
    <row r="183" customFormat="false" ht="15" hidden="false" customHeight="false" outlineLevel="0" collapsed="false">
      <c r="A183" s="26" t="s">
        <v>393</v>
      </c>
      <c r="B183" s="26" t="s">
        <v>363</v>
      </c>
      <c r="C183" s="26"/>
      <c r="D183" s="26" t="s">
        <v>104</v>
      </c>
      <c r="E183" s="26" t="s">
        <v>104</v>
      </c>
      <c r="F183" s="26" t="s">
        <v>104</v>
      </c>
      <c r="G183" s="26" t="s">
        <v>356</v>
      </c>
      <c r="H183" s="10" t="str">
        <f aca="false">IF(AND(EXACT(D183,E183),EXACT(E183,F183),EXACT(F183,G183)),"Same","DIFF")</f>
        <v>DIFF</v>
      </c>
    </row>
    <row r="184" customFormat="false" ht="15" hidden="false" customHeight="false" outlineLevel="0" collapsed="false">
      <c r="A184" s="26" t="s">
        <v>393</v>
      </c>
      <c r="B184" s="26" t="s">
        <v>364</v>
      </c>
      <c r="C184" s="26"/>
      <c r="D184" s="26" t="s">
        <v>356</v>
      </c>
      <c r="E184" s="26" t="s">
        <v>356</v>
      </c>
      <c r="F184" s="26" t="s">
        <v>356</v>
      </c>
      <c r="G184" s="26" t="s">
        <v>356</v>
      </c>
      <c r="H184" s="10" t="str">
        <f aca="false">IF(AND(EXACT(D184,E184),EXACT(E184,F184),EXACT(F184,G184)),"Same","DIFF")</f>
        <v>Same</v>
      </c>
    </row>
    <row r="185" customFormat="false" ht="15" hidden="false" customHeight="false" outlineLevel="0" collapsed="false">
      <c r="A185" s="26" t="s">
        <v>393</v>
      </c>
      <c r="B185" s="26" t="s">
        <v>426</v>
      </c>
      <c r="C185" s="26"/>
      <c r="D185" s="26" t="s">
        <v>356</v>
      </c>
      <c r="E185" s="26" t="s">
        <v>356</v>
      </c>
      <c r="F185" s="26" t="s">
        <v>356</v>
      </c>
      <c r="G185" s="26" t="s">
        <v>356</v>
      </c>
      <c r="H185" s="10" t="str">
        <f aca="false">IF(AND(EXACT(D185,E185),EXACT(E185,F185),EXACT(F185,G185)),"Same","DIFF")</f>
        <v>Same</v>
      </c>
    </row>
    <row r="186" customFormat="false" ht="15" hidden="false" customHeight="false" outlineLevel="0" collapsed="false">
      <c r="A186" s="26" t="s">
        <v>393</v>
      </c>
      <c r="B186" s="26" t="s">
        <v>348</v>
      </c>
      <c r="C186" s="26"/>
      <c r="D186" s="26" t="s">
        <v>104</v>
      </c>
      <c r="E186" s="26" t="s">
        <v>104</v>
      </c>
      <c r="F186" s="26" t="s">
        <v>356</v>
      </c>
      <c r="G186" s="26" t="s">
        <v>104</v>
      </c>
      <c r="H186" s="10" t="str">
        <f aca="false">IF(AND(EXACT(D186,E186),EXACT(E186,F186),EXACT(F186,G186)),"Same","DIFF")</f>
        <v>DIFF</v>
      </c>
    </row>
    <row r="187" customFormat="false" ht="15" hidden="false" customHeight="false" outlineLevel="0" collapsed="false">
      <c r="A187" s="26" t="s">
        <v>393</v>
      </c>
      <c r="B187" s="26" t="s">
        <v>349</v>
      </c>
      <c r="C187" s="26"/>
      <c r="D187" s="26" t="s">
        <v>320</v>
      </c>
      <c r="E187" s="26" t="s">
        <v>320</v>
      </c>
      <c r="F187" s="26" t="s">
        <v>320</v>
      </c>
      <c r="G187" s="26" t="s">
        <v>320</v>
      </c>
      <c r="H187" s="10" t="str">
        <f aca="false">IF(AND(EXACT(D187,E187),EXACT(E187,F187),EXACT(F187,G187)),"Same","DIFF")</f>
        <v>Same</v>
      </c>
    </row>
    <row r="188" customFormat="false" ht="15" hidden="false" customHeight="false" outlineLevel="0" collapsed="false">
      <c r="A188" s="26" t="s">
        <v>393</v>
      </c>
      <c r="B188" s="26" t="s">
        <v>386</v>
      </c>
      <c r="C188" s="26"/>
      <c r="D188" s="26" t="s">
        <v>356</v>
      </c>
      <c r="E188" s="26" t="s">
        <v>356</v>
      </c>
      <c r="F188" s="26" t="s">
        <v>356</v>
      </c>
      <c r="G188" s="26" t="s">
        <v>356</v>
      </c>
      <c r="H188" s="10" t="str">
        <f aca="false">IF(AND(EXACT(D188,E188),EXACT(E188,F188),EXACT(F188,G188)),"Same","DIFF")</f>
        <v>Same</v>
      </c>
    </row>
    <row r="189" customFormat="false" ht="15" hidden="false" customHeight="false" outlineLevel="0" collapsed="false">
      <c r="A189" s="26" t="s">
        <v>393</v>
      </c>
      <c r="B189" s="26" t="s">
        <v>387</v>
      </c>
      <c r="C189" s="26"/>
      <c r="D189" s="26" t="s">
        <v>104</v>
      </c>
      <c r="E189" s="26" t="s">
        <v>104</v>
      </c>
      <c r="F189" s="26" t="s">
        <v>320</v>
      </c>
      <c r="G189" s="26" t="s">
        <v>320</v>
      </c>
      <c r="H189" s="10" t="str">
        <f aca="false">IF(AND(EXACT(D189,E189),EXACT(E189,F189),EXACT(F189,G189)),"Same","DIFF")</f>
        <v>DIFF</v>
      </c>
    </row>
    <row r="190" customFormat="false" ht="15" hidden="false" customHeight="false" outlineLevel="0" collapsed="false">
      <c r="A190" s="26" t="s">
        <v>427</v>
      </c>
      <c r="B190" s="26" t="s">
        <v>395</v>
      </c>
      <c r="C190" s="26"/>
      <c r="D190" s="26" t="s">
        <v>356</v>
      </c>
      <c r="E190" s="26" t="s">
        <v>356</v>
      </c>
      <c r="F190" s="26" t="s">
        <v>356</v>
      </c>
      <c r="G190" s="26" t="s">
        <v>104</v>
      </c>
      <c r="H190" s="10" t="str">
        <f aca="false">IF(AND(EXACT(D190,E190),EXACT(E190,F190),EXACT(F190,G190)),"Same","DIFF")</f>
        <v>DIFF</v>
      </c>
    </row>
    <row r="191" customFormat="false" ht="15" hidden="false" customHeight="false" outlineLevel="0" collapsed="false">
      <c r="A191" s="26" t="s">
        <v>427</v>
      </c>
      <c r="B191" s="26" t="s">
        <v>396</v>
      </c>
      <c r="C191" s="26"/>
      <c r="D191" s="26" t="s">
        <v>356</v>
      </c>
      <c r="E191" s="26" t="s">
        <v>356</v>
      </c>
      <c r="F191" s="26" t="s">
        <v>356</v>
      </c>
      <c r="G191" s="26" t="s">
        <v>104</v>
      </c>
      <c r="H191" s="10" t="str">
        <f aca="false">IF(AND(EXACT(D191,E191),EXACT(E191,F191),EXACT(F191,G191)),"Same","DIFF")</f>
        <v>DIFF</v>
      </c>
    </row>
    <row r="192" customFormat="false" ht="15" hidden="false" customHeight="false" outlineLevel="0" collapsed="false">
      <c r="A192" s="26" t="s">
        <v>427</v>
      </c>
      <c r="B192" s="26" t="s">
        <v>428</v>
      </c>
      <c r="C192" s="26"/>
      <c r="D192" s="26" t="s">
        <v>320</v>
      </c>
      <c r="E192" s="26" t="s">
        <v>104</v>
      </c>
      <c r="F192" s="26" t="s">
        <v>104</v>
      </c>
      <c r="G192" s="26" t="s">
        <v>104</v>
      </c>
      <c r="H192" s="10" t="str">
        <f aca="false">IF(AND(EXACT(D192,E192),EXACT(E192,F192),EXACT(F192,G192)),"Same","DIFF")</f>
        <v>DIFF</v>
      </c>
    </row>
    <row r="193" customFormat="false" ht="15" hidden="false" customHeight="false" outlineLevel="0" collapsed="false">
      <c r="A193" s="26" t="s">
        <v>427</v>
      </c>
      <c r="B193" s="26" t="s">
        <v>355</v>
      </c>
      <c r="C193" s="26"/>
      <c r="D193" s="26" t="s">
        <v>356</v>
      </c>
      <c r="E193" s="26" t="s">
        <v>356</v>
      </c>
      <c r="F193" s="26" t="s">
        <v>356</v>
      </c>
      <c r="G193" s="26" t="s">
        <v>356</v>
      </c>
      <c r="H193" s="10" t="str">
        <f aca="false">IF(AND(EXACT(D193,E193),EXACT(E193,F193),EXACT(F193,G193)),"Same","DIFF")</f>
        <v>Same</v>
      </c>
    </row>
    <row r="194" customFormat="false" ht="15" hidden="false" customHeight="false" outlineLevel="0" collapsed="false">
      <c r="A194" s="26" t="s">
        <v>427</v>
      </c>
      <c r="B194" s="26" t="s">
        <v>369</v>
      </c>
      <c r="C194" s="26"/>
      <c r="D194" s="26" t="s">
        <v>104</v>
      </c>
      <c r="E194" s="26" t="s">
        <v>356</v>
      </c>
      <c r="F194" s="26" t="s">
        <v>104</v>
      </c>
      <c r="G194" s="26" t="s">
        <v>104</v>
      </c>
      <c r="H194" s="10" t="str">
        <f aca="false">IF(AND(EXACT(D194,E194),EXACT(E194,F194),EXACT(F194,G194)),"Same","DIFF")</f>
        <v>DIFF</v>
      </c>
    </row>
    <row r="195" customFormat="false" ht="15" hidden="false" customHeight="false" outlineLevel="0" collapsed="false">
      <c r="A195" s="26" t="s">
        <v>427</v>
      </c>
      <c r="B195" s="26" t="s">
        <v>321</v>
      </c>
      <c r="C195" s="26"/>
      <c r="D195" s="26" t="s">
        <v>356</v>
      </c>
      <c r="E195" s="26" t="s">
        <v>104</v>
      </c>
      <c r="F195" s="26" t="s">
        <v>356</v>
      </c>
      <c r="G195" s="26" t="s">
        <v>104</v>
      </c>
      <c r="H195" s="10" t="str">
        <f aca="false">IF(AND(EXACT(D195,E195),EXACT(E195,F195),EXACT(F195,G195)),"Same","DIFF")</f>
        <v>DIFF</v>
      </c>
    </row>
    <row r="196" customFormat="false" ht="15" hidden="false" customHeight="false" outlineLevel="0" collapsed="false">
      <c r="A196" s="26" t="s">
        <v>427</v>
      </c>
      <c r="B196" s="26" t="s">
        <v>318</v>
      </c>
      <c r="C196" s="26"/>
      <c r="D196" s="26" t="s">
        <v>356</v>
      </c>
      <c r="E196" s="26" t="s">
        <v>104</v>
      </c>
      <c r="F196" s="26" t="s">
        <v>104</v>
      </c>
      <c r="G196" s="26" t="s">
        <v>104</v>
      </c>
      <c r="H196" s="10" t="str">
        <f aca="false">IF(AND(EXACT(D196,E196),EXACT(E196,F196),EXACT(F196,G196)),"Same","DIFF")</f>
        <v>DIFF</v>
      </c>
    </row>
    <row r="197" customFormat="false" ht="15" hidden="false" customHeight="false" outlineLevel="0" collapsed="false">
      <c r="A197" s="26" t="s">
        <v>427</v>
      </c>
      <c r="B197" s="26" t="s">
        <v>323</v>
      </c>
      <c r="C197" s="26"/>
      <c r="D197" s="26" t="s">
        <v>320</v>
      </c>
      <c r="E197" s="26" t="s">
        <v>320</v>
      </c>
      <c r="F197" s="26" t="s">
        <v>320</v>
      </c>
      <c r="G197" s="26" t="s">
        <v>320</v>
      </c>
      <c r="H197" s="10" t="str">
        <f aca="false">IF(AND(EXACT(D197,E197),EXACT(E197,F197),EXACT(F197,G197)),"Same","DIFF")</f>
        <v>Same</v>
      </c>
    </row>
    <row r="198" customFormat="false" ht="15" hidden="false" customHeight="false" outlineLevel="0" collapsed="false">
      <c r="A198" s="26" t="s">
        <v>427</v>
      </c>
      <c r="B198" s="26" t="s">
        <v>429</v>
      </c>
      <c r="C198" s="26"/>
      <c r="D198" s="26" t="s">
        <v>320</v>
      </c>
      <c r="E198" s="26" t="s">
        <v>104</v>
      </c>
      <c r="F198" s="26" t="s">
        <v>104</v>
      </c>
      <c r="G198" s="26" t="s">
        <v>104</v>
      </c>
      <c r="H198" s="10" t="str">
        <f aca="false">IF(AND(EXACT(D198,E198),EXACT(E198,F198),EXACT(F198,G198)),"Same","DIFF")</f>
        <v>DIFF</v>
      </c>
    </row>
    <row r="199" customFormat="false" ht="15" hidden="false" customHeight="false" outlineLevel="0" collapsed="false">
      <c r="A199" s="26" t="s">
        <v>427</v>
      </c>
      <c r="B199" s="26" t="s">
        <v>325</v>
      </c>
      <c r="C199" s="26"/>
      <c r="D199" s="26" t="s">
        <v>356</v>
      </c>
      <c r="E199" s="26" t="s">
        <v>104</v>
      </c>
      <c r="F199" s="26" t="s">
        <v>356</v>
      </c>
      <c r="G199" s="26" t="s">
        <v>104</v>
      </c>
      <c r="H199" s="10" t="str">
        <f aca="false">IF(AND(EXACT(D199,E199),EXACT(E199,F199),EXACT(F199,G199)),"Same","DIFF")</f>
        <v>DIFF</v>
      </c>
    </row>
    <row r="200" customFormat="false" ht="15" hidden="false" customHeight="false" outlineLevel="0" collapsed="false">
      <c r="A200" s="26" t="s">
        <v>427</v>
      </c>
      <c r="B200" s="26" t="s">
        <v>372</v>
      </c>
      <c r="C200" s="26"/>
      <c r="D200" s="26" t="s">
        <v>104</v>
      </c>
      <c r="E200" s="26" t="s">
        <v>104</v>
      </c>
      <c r="F200" s="26" t="s">
        <v>320</v>
      </c>
      <c r="G200" s="26" t="s">
        <v>104</v>
      </c>
      <c r="H200" s="10" t="str">
        <f aca="false">IF(AND(EXACT(D200,E200),EXACT(E200,F200),EXACT(F200,G200)),"Same","DIFF")</f>
        <v>DIFF</v>
      </c>
    </row>
    <row r="201" customFormat="false" ht="15" hidden="false" customHeight="false" outlineLevel="0" collapsed="false">
      <c r="A201" s="26" t="s">
        <v>427</v>
      </c>
      <c r="B201" s="26" t="s">
        <v>430</v>
      </c>
      <c r="C201" s="26"/>
      <c r="D201" s="26" t="s">
        <v>356</v>
      </c>
      <c r="E201" s="26" t="s">
        <v>104</v>
      </c>
      <c r="F201" s="26" t="s">
        <v>104</v>
      </c>
      <c r="G201" s="26" t="s">
        <v>104</v>
      </c>
      <c r="H201" s="10" t="str">
        <f aca="false">IF(AND(EXACT(D201,E201),EXACT(E201,F201),EXACT(F201,G201)),"Same","DIFF")</f>
        <v>DIFF</v>
      </c>
    </row>
    <row r="202" customFormat="false" ht="15" hidden="false" customHeight="false" outlineLevel="0" collapsed="false">
      <c r="A202" s="26" t="s">
        <v>427</v>
      </c>
      <c r="B202" s="26" t="s">
        <v>373</v>
      </c>
      <c r="C202" s="26"/>
      <c r="D202" s="26" t="s">
        <v>356</v>
      </c>
      <c r="E202" s="26" t="s">
        <v>356</v>
      </c>
      <c r="F202" s="26" t="s">
        <v>356</v>
      </c>
      <c r="G202" s="26" t="s">
        <v>356</v>
      </c>
      <c r="H202" s="10" t="str">
        <f aca="false">IF(AND(EXACT(D202,E202),EXACT(E202,F202),EXACT(F202,G202)),"Same","DIFF")</f>
        <v>Same</v>
      </c>
    </row>
    <row r="203" customFormat="false" ht="15" hidden="false" customHeight="false" outlineLevel="0" collapsed="false">
      <c r="A203" s="26" t="s">
        <v>427</v>
      </c>
      <c r="B203" s="26" t="s">
        <v>326</v>
      </c>
      <c r="C203" s="26"/>
      <c r="D203" s="26" t="s">
        <v>320</v>
      </c>
      <c r="E203" s="26" t="s">
        <v>320</v>
      </c>
      <c r="F203" s="26" t="s">
        <v>320</v>
      </c>
      <c r="G203" s="26" t="s">
        <v>320</v>
      </c>
      <c r="H203" s="10" t="str">
        <f aca="false">IF(AND(EXACT(D203,E203),EXACT(E203,F203),EXACT(F203,G203)),"Same","DIFF")</f>
        <v>Same</v>
      </c>
    </row>
    <row r="204" customFormat="false" ht="15" hidden="false" customHeight="false" outlineLevel="0" collapsed="false">
      <c r="A204" s="26" t="s">
        <v>427</v>
      </c>
      <c r="B204" s="26" t="s">
        <v>374</v>
      </c>
      <c r="C204" s="26"/>
      <c r="D204" s="26" t="s">
        <v>104</v>
      </c>
      <c r="E204" s="26" t="s">
        <v>104</v>
      </c>
      <c r="F204" s="26" t="s">
        <v>356</v>
      </c>
      <c r="G204" s="26" t="s">
        <v>356</v>
      </c>
      <c r="H204" s="10" t="str">
        <f aca="false">IF(AND(EXACT(D204,E204),EXACT(E204,F204),EXACT(F204,G204)),"Same","DIFF")</f>
        <v>DIFF</v>
      </c>
    </row>
    <row r="205" customFormat="false" ht="15" hidden="false" customHeight="false" outlineLevel="0" collapsed="false">
      <c r="A205" s="26" t="s">
        <v>427</v>
      </c>
      <c r="B205" s="26" t="s">
        <v>400</v>
      </c>
      <c r="C205" s="26"/>
      <c r="D205" s="26" t="s">
        <v>356</v>
      </c>
      <c r="E205" s="26" t="s">
        <v>356</v>
      </c>
      <c r="F205" s="26" t="s">
        <v>104</v>
      </c>
      <c r="G205" s="26" t="s">
        <v>104</v>
      </c>
      <c r="H205" s="10" t="str">
        <f aca="false">IF(AND(EXACT(D205,E205),EXACT(E205,F205),EXACT(F205,G205)),"Same","DIFF")</f>
        <v>DIFF</v>
      </c>
    </row>
    <row r="206" customFormat="false" ht="15" hidden="false" customHeight="false" outlineLevel="0" collapsed="false">
      <c r="A206" s="26" t="s">
        <v>427</v>
      </c>
      <c r="B206" s="26" t="s">
        <v>328</v>
      </c>
      <c r="C206" s="26"/>
      <c r="D206" s="26" t="s">
        <v>356</v>
      </c>
      <c r="E206" s="26" t="s">
        <v>356</v>
      </c>
      <c r="F206" s="26" t="s">
        <v>104</v>
      </c>
      <c r="G206" s="26" t="s">
        <v>104</v>
      </c>
      <c r="H206" s="10" t="str">
        <f aca="false">IF(AND(EXACT(D206,E206),EXACT(E206,F206),EXACT(F206,G206)),"Same","DIFF")</f>
        <v>DIFF</v>
      </c>
    </row>
    <row r="207" customFormat="false" ht="15" hidden="false" customHeight="false" outlineLevel="0" collapsed="false">
      <c r="A207" s="26" t="s">
        <v>427</v>
      </c>
      <c r="B207" s="26" t="s">
        <v>330</v>
      </c>
      <c r="C207" s="26"/>
      <c r="D207" s="26" t="s">
        <v>356</v>
      </c>
      <c r="E207" s="26" t="s">
        <v>356</v>
      </c>
      <c r="F207" s="26" t="s">
        <v>104</v>
      </c>
      <c r="G207" s="26" t="s">
        <v>104</v>
      </c>
      <c r="H207" s="10" t="str">
        <f aca="false">IF(AND(EXACT(D207,E207),EXACT(E207,F207),EXACT(F207,G207)),"Same","DIFF")</f>
        <v>DIFF</v>
      </c>
    </row>
    <row r="208" customFormat="false" ht="15" hidden="false" customHeight="false" outlineLevel="0" collapsed="false">
      <c r="A208" s="26" t="s">
        <v>427</v>
      </c>
      <c r="B208" s="26" t="s">
        <v>331</v>
      </c>
      <c r="C208" s="26"/>
      <c r="D208" s="26" t="s">
        <v>320</v>
      </c>
      <c r="E208" s="26" t="s">
        <v>320</v>
      </c>
      <c r="F208" s="26" t="s">
        <v>320</v>
      </c>
      <c r="G208" s="26" t="s">
        <v>320</v>
      </c>
      <c r="H208" s="10" t="str">
        <f aca="false">IF(AND(EXACT(D208,E208),EXACT(E208,F208),EXACT(F208,G208)),"Same","DIFF")</f>
        <v>Same</v>
      </c>
    </row>
    <row r="209" customFormat="false" ht="15" hidden="false" customHeight="false" outlineLevel="0" collapsed="false">
      <c r="A209" s="26" t="s">
        <v>427</v>
      </c>
      <c r="B209" s="26" t="s">
        <v>375</v>
      </c>
      <c r="C209" s="26"/>
      <c r="D209" s="26" t="s">
        <v>356</v>
      </c>
      <c r="E209" s="26" t="s">
        <v>356</v>
      </c>
      <c r="F209" s="26" t="s">
        <v>104</v>
      </c>
      <c r="G209" s="26" t="s">
        <v>104</v>
      </c>
      <c r="H209" s="10" t="str">
        <f aca="false">IF(AND(EXACT(D209,E209),EXACT(E209,F209),EXACT(F209,G209)),"Same","DIFF")</f>
        <v>DIFF</v>
      </c>
    </row>
    <row r="210" customFormat="false" ht="15" hidden="false" customHeight="false" outlineLevel="0" collapsed="false">
      <c r="A210" s="26" t="s">
        <v>427</v>
      </c>
      <c r="B210" s="26" t="s">
        <v>376</v>
      </c>
      <c r="C210" s="26"/>
      <c r="D210" s="26" t="s">
        <v>104</v>
      </c>
      <c r="E210" s="26" t="s">
        <v>356</v>
      </c>
      <c r="F210" s="26" t="s">
        <v>356</v>
      </c>
      <c r="G210" s="26" t="s">
        <v>320</v>
      </c>
      <c r="H210" s="10" t="str">
        <f aca="false">IF(AND(EXACT(D210,E210),EXACT(E210,F210),EXACT(F210,G210)),"Same","DIFF")</f>
        <v>DIFF</v>
      </c>
    </row>
    <row r="211" customFormat="false" ht="15" hidden="false" customHeight="false" outlineLevel="0" collapsed="false">
      <c r="A211" s="26" t="s">
        <v>427</v>
      </c>
      <c r="B211" s="26" t="s">
        <v>402</v>
      </c>
      <c r="C211" s="26"/>
      <c r="D211" s="26" t="s">
        <v>356</v>
      </c>
      <c r="E211" s="26" t="s">
        <v>356</v>
      </c>
      <c r="F211" s="26" t="s">
        <v>356</v>
      </c>
      <c r="G211" s="26" t="s">
        <v>356</v>
      </c>
      <c r="H211" s="10" t="str">
        <f aca="false">IF(AND(EXACT(D211,E211),EXACT(E211,F211),EXACT(F211,G211)),"Same","DIFF")</f>
        <v>Same</v>
      </c>
    </row>
    <row r="212" customFormat="false" ht="15" hidden="false" customHeight="false" outlineLevel="0" collapsed="false">
      <c r="A212" s="26" t="s">
        <v>427</v>
      </c>
      <c r="B212" s="26" t="s">
        <v>378</v>
      </c>
      <c r="C212" s="26"/>
      <c r="D212" s="26" t="s">
        <v>356</v>
      </c>
      <c r="E212" s="26" t="s">
        <v>356</v>
      </c>
      <c r="F212" s="26" t="s">
        <v>356</v>
      </c>
      <c r="G212" s="26" t="s">
        <v>356</v>
      </c>
      <c r="H212" s="10" t="str">
        <f aca="false">IF(AND(EXACT(D212,E212),EXACT(E212,F212),EXACT(F212,G212)),"Same","DIFF")</f>
        <v>Same</v>
      </c>
    </row>
    <row r="213" customFormat="false" ht="15" hidden="false" customHeight="false" outlineLevel="0" collapsed="false">
      <c r="A213" s="26" t="s">
        <v>427</v>
      </c>
      <c r="B213" s="26" t="s">
        <v>403</v>
      </c>
      <c r="C213" s="26"/>
      <c r="D213" s="26" t="s">
        <v>356</v>
      </c>
      <c r="E213" s="26" t="s">
        <v>356</v>
      </c>
      <c r="F213" s="26" t="s">
        <v>356</v>
      </c>
      <c r="G213" s="26" t="s">
        <v>356</v>
      </c>
      <c r="H213" s="10" t="str">
        <f aca="false">IF(AND(EXACT(D213,E213),EXACT(E213,F213),EXACT(F213,G213)),"Same","DIFF")</f>
        <v>Same</v>
      </c>
    </row>
    <row r="214" customFormat="false" ht="15" hidden="false" customHeight="false" outlineLevel="0" collapsed="false">
      <c r="A214" s="26" t="s">
        <v>427</v>
      </c>
      <c r="B214" s="26" t="s">
        <v>404</v>
      </c>
      <c r="C214" s="26"/>
      <c r="D214" s="26" t="s">
        <v>356</v>
      </c>
      <c r="E214" s="26" t="s">
        <v>356</v>
      </c>
      <c r="F214" s="26" t="s">
        <v>356</v>
      </c>
      <c r="G214" s="26" t="s">
        <v>356</v>
      </c>
      <c r="H214" s="10" t="str">
        <f aca="false">IF(AND(EXACT(D214,E214),EXACT(E214,F214),EXACT(F214,G214)),"Same","DIFF")</f>
        <v>Same</v>
      </c>
    </row>
    <row r="215" customFormat="false" ht="15" hidden="false" customHeight="false" outlineLevel="0" collapsed="false">
      <c r="A215" s="26" t="s">
        <v>427</v>
      </c>
      <c r="B215" s="26" t="s">
        <v>379</v>
      </c>
      <c r="C215" s="26"/>
      <c r="D215" s="26" t="s">
        <v>356</v>
      </c>
      <c r="E215" s="26" t="s">
        <v>356</v>
      </c>
      <c r="F215" s="26" t="s">
        <v>356</v>
      </c>
      <c r="G215" s="26" t="s">
        <v>356</v>
      </c>
      <c r="H215" s="10" t="str">
        <f aca="false">IF(AND(EXACT(D215,E215),EXACT(E215,F215),EXACT(F215,G215)),"Same","DIFF")</f>
        <v>Same</v>
      </c>
    </row>
    <row r="216" customFormat="false" ht="15" hidden="false" customHeight="false" outlineLevel="0" collapsed="false">
      <c r="A216" s="26" t="s">
        <v>427</v>
      </c>
      <c r="B216" s="26" t="s">
        <v>405</v>
      </c>
      <c r="C216" s="26"/>
      <c r="D216" s="26" t="s">
        <v>356</v>
      </c>
      <c r="E216" s="26" t="s">
        <v>356</v>
      </c>
      <c r="F216" s="26" t="s">
        <v>356</v>
      </c>
      <c r="G216" s="26" t="s">
        <v>356</v>
      </c>
      <c r="H216" s="10" t="str">
        <f aca="false">IF(AND(EXACT(D216,E216),EXACT(E216,F216),EXACT(F216,G216)),"Same","DIFF")</f>
        <v>Same</v>
      </c>
    </row>
    <row r="217" customFormat="false" ht="15" hidden="false" customHeight="false" outlineLevel="0" collapsed="false">
      <c r="A217" s="26" t="s">
        <v>427</v>
      </c>
      <c r="B217" s="26" t="s">
        <v>406</v>
      </c>
      <c r="C217" s="26"/>
      <c r="D217" s="26" t="s">
        <v>356</v>
      </c>
      <c r="E217" s="26" t="s">
        <v>356</v>
      </c>
      <c r="F217" s="26" t="s">
        <v>356</v>
      </c>
      <c r="G217" s="26" t="s">
        <v>356</v>
      </c>
      <c r="H217" s="10" t="str">
        <f aca="false">IF(AND(EXACT(D217,E217),EXACT(E217,F217),EXACT(F217,G217)),"Same","DIFF")</f>
        <v>Same</v>
      </c>
    </row>
    <row r="218" customFormat="false" ht="15" hidden="false" customHeight="false" outlineLevel="0" collapsed="false">
      <c r="A218" s="26" t="s">
        <v>427</v>
      </c>
      <c r="B218" s="26" t="s">
        <v>407</v>
      </c>
      <c r="C218" s="26"/>
      <c r="D218" s="26" t="s">
        <v>356</v>
      </c>
      <c r="E218" s="26" t="s">
        <v>356</v>
      </c>
      <c r="F218" s="26" t="s">
        <v>356</v>
      </c>
      <c r="G218" s="26" t="s">
        <v>356</v>
      </c>
      <c r="H218" s="10" t="str">
        <f aca="false">IF(AND(EXACT(D218,E218),EXACT(E218,F218),EXACT(F218,G218)),"Same","DIFF")</f>
        <v>Same</v>
      </c>
    </row>
    <row r="219" customFormat="false" ht="15" hidden="false" customHeight="false" outlineLevel="0" collapsed="false">
      <c r="A219" s="26" t="s">
        <v>427</v>
      </c>
      <c r="B219" s="26" t="s">
        <v>408</v>
      </c>
      <c r="C219" s="26"/>
      <c r="D219" s="26" t="s">
        <v>356</v>
      </c>
      <c r="E219" s="26" t="s">
        <v>356</v>
      </c>
      <c r="F219" s="26" t="s">
        <v>356</v>
      </c>
      <c r="G219" s="26" t="s">
        <v>356</v>
      </c>
      <c r="H219" s="10" t="str">
        <f aca="false">IF(AND(EXACT(D219,E219),EXACT(E219,F219),EXACT(F219,G219)),"Same","DIFF")</f>
        <v>Same</v>
      </c>
    </row>
    <row r="220" customFormat="false" ht="15" hidden="false" customHeight="false" outlineLevel="0" collapsed="false">
      <c r="A220" s="26" t="s">
        <v>427</v>
      </c>
      <c r="B220" s="26" t="s">
        <v>410</v>
      </c>
      <c r="C220" s="26"/>
      <c r="D220" s="26" t="s">
        <v>356</v>
      </c>
      <c r="E220" s="26" t="s">
        <v>356</v>
      </c>
      <c r="F220" s="26" t="s">
        <v>356</v>
      </c>
      <c r="G220" s="26" t="s">
        <v>356</v>
      </c>
      <c r="H220" s="10" t="str">
        <f aca="false">IF(AND(EXACT(D220,E220),EXACT(E220,F220),EXACT(F220,G220)),"Same","DIFF")</f>
        <v>Same</v>
      </c>
    </row>
    <row r="221" customFormat="false" ht="15" hidden="false" customHeight="false" outlineLevel="0" collapsed="false">
      <c r="A221" s="26" t="s">
        <v>427</v>
      </c>
      <c r="B221" s="26" t="s">
        <v>411</v>
      </c>
      <c r="C221" s="26"/>
      <c r="D221" s="26" t="s">
        <v>356</v>
      </c>
      <c r="E221" s="26" t="s">
        <v>356</v>
      </c>
      <c r="F221" s="26" t="s">
        <v>356</v>
      </c>
      <c r="G221" s="26" t="s">
        <v>356</v>
      </c>
      <c r="H221" s="10" t="str">
        <f aca="false">IF(AND(EXACT(D221,E221),EXACT(E221,F221),EXACT(F221,G221)),"Same","DIFF")</f>
        <v>Same</v>
      </c>
    </row>
    <row r="222" customFormat="false" ht="15" hidden="false" customHeight="false" outlineLevel="0" collapsed="false">
      <c r="A222" s="26" t="s">
        <v>427</v>
      </c>
      <c r="B222" s="26" t="s">
        <v>412</v>
      </c>
      <c r="C222" s="26"/>
      <c r="D222" s="26" t="s">
        <v>356</v>
      </c>
      <c r="E222" s="26" t="s">
        <v>356</v>
      </c>
      <c r="F222" s="26" t="s">
        <v>356</v>
      </c>
      <c r="G222" s="26" t="s">
        <v>356</v>
      </c>
      <c r="H222" s="10" t="str">
        <f aca="false">IF(AND(EXACT(D222,E222),EXACT(E222,F222),EXACT(F222,G222)),"Same","DIFF")</f>
        <v>Same</v>
      </c>
    </row>
    <row r="223" customFormat="false" ht="15" hidden="false" customHeight="false" outlineLevel="0" collapsed="false">
      <c r="A223" s="26" t="s">
        <v>427</v>
      </c>
      <c r="B223" s="26" t="s">
        <v>413</v>
      </c>
      <c r="C223" s="26"/>
      <c r="D223" s="26" t="s">
        <v>356</v>
      </c>
      <c r="E223" s="26" t="s">
        <v>356</v>
      </c>
      <c r="F223" s="26" t="s">
        <v>356</v>
      </c>
      <c r="G223" s="26" t="s">
        <v>104</v>
      </c>
      <c r="H223" s="10" t="str">
        <f aca="false">IF(AND(EXACT(D223,E223),EXACT(E223,F223),EXACT(F223,G223)),"Same","DIFF")</f>
        <v>DIFF</v>
      </c>
    </row>
    <row r="224" customFormat="false" ht="15" hidden="false" customHeight="false" outlineLevel="0" collapsed="false">
      <c r="A224" s="26" t="s">
        <v>427</v>
      </c>
      <c r="B224" s="26" t="s">
        <v>414</v>
      </c>
      <c r="C224" s="26"/>
      <c r="D224" s="26" t="s">
        <v>356</v>
      </c>
      <c r="E224" s="26" t="s">
        <v>356</v>
      </c>
      <c r="F224" s="26" t="s">
        <v>356</v>
      </c>
      <c r="G224" s="26" t="s">
        <v>104</v>
      </c>
      <c r="H224" s="10" t="str">
        <f aca="false">IF(AND(EXACT(D224,E224),EXACT(E224,F224),EXACT(F224,G224)),"Same","DIFF")</f>
        <v>DIFF</v>
      </c>
    </row>
    <row r="225" customFormat="false" ht="15" hidden="false" customHeight="false" outlineLevel="0" collapsed="false">
      <c r="A225" s="26" t="s">
        <v>427</v>
      </c>
      <c r="B225" s="26" t="s">
        <v>415</v>
      </c>
      <c r="C225" s="26"/>
      <c r="D225" s="26" t="s">
        <v>356</v>
      </c>
      <c r="E225" s="26" t="s">
        <v>356</v>
      </c>
      <c r="F225" s="26" t="s">
        <v>356</v>
      </c>
      <c r="G225" s="26" t="s">
        <v>356</v>
      </c>
      <c r="H225" s="10" t="str">
        <f aca="false">IF(AND(EXACT(D225,E225),EXACT(E225,F225),EXACT(F225,G225)),"Same","DIFF")</f>
        <v>Same</v>
      </c>
    </row>
    <row r="226" customFormat="false" ht="15" hidden="false" customHeight="false" outlineLevel="0" collapsed="false">
      <c r="A226" s="26" t="s">
        <v>427</v>
      </c>
      <c r="B226" s="26" t="s">
        <v>389</v>
      </c>
      <c r="C226" s="26"/>
      <c r="D226" s="26" t="s">
        <v>104</v>
      </c>
      <c r="E226" s="26" t="s">
        <v>320</v>
      </c>
      <c r="F226" s="26" t="s">
        <v>320</v>
      </c>
      <c r="G226" s="26" t="s">
        <v>320</v>
      </c>
      <c r="H226" s="10" t="str">
        <f aca="false">IF(AND(EXACT(D226,E226),EXACT(E226,F226),EXACT(F226,G226)),"Same","DIFF")</f>
        <v>DIFF</v>
      </c>
    </row>
    <row r="227" customFormat="false" ht="15" hidden="false" customHeight="false" outlineLevel="0" collapsed="false">
      <c r="A227" s="26" t="s">
        <v>427</v>
      </c>
      <c r="B227" s="26" t="s">
        <v>380</v>
      </c>
      <c r="C227" s="26"/>
      <c r="D227" s="26" t="s">
        <v>320</v>
      </c>
      <c r="E227" s="26" t="s">
        <v>104</v>
      </c>
      <c r="F227" s="26" t="s">
        <v>104</v>
      </c>
      <c r="G227" s="26" t="s">
        <v>104</v>
      </c>
      <c r="H227" s="10" t="str">
        <f aca="false">IF(AND(EXACT(D227,E227),EXACT(E227,F227),EXACT(F227,G227)),"Same","DIFF")</f>
        <v>DIFF</v>
      </c>
    </row>
    <row r="228" customFormat="false" ht="15" hidden="false" customHeight="false" outlineLevel="0" collapsed="false">
      <c r="A228" s="26" t="s">
        <v>427</v>
      </c>
      <c r="B228" s="26" t="s">
        <v>431</v>
      </c>
      <c r="C228" s="26"/>
      <c r="D228" s="26" t="s">
        <v>356</v>
      </c>
      <c r="E228" s="26" t="s">
        <v>104</v>
      </c>
      <c r="F228" s="26" t="s">
        <v>356</v>
      </c>
      <c r="G228" s="26" t="s">
        <v>356</v>
      </c>
      <c r="H228" s="10" t="str">
        <f aca="false">IF(AND(EXACT(D228,E228),EXACT(E228,F228),EXACT(F228,G228)),"Same","DIFF")</f>
        <v>DIFF</v>
      </c>
    </row>
    <row r="229" customFormat="false" ht="15" hidden="false" customHeight="false" outlineLevel="0" collapsed="false">
      <c r="A229" s="26" t="s">
        <v>427</v>
      </c>
      <c r="B229" s="26" t="s">
        <v>337</v>
      </c>
      <c r="C229" s="26"/>
      <c r="D229" s="26" t="s">
        <v>356</v>
      </c>
      <c r="E229" s="26" t="s">
        <v>356</v>
      </c>
      <c r="F229" s="26" t="s">
        <v>104</v>
      </c>
      <c r="G229" s="26" t="s">
        <v>104</v>
      </c>
      <c r="H229" s="10" t="str">
        <f aca="false">IF(AND(EXACT(D229,E229),EXACT(E229,F229),EXACT(F229,G229)),"Same","DIFF")</f>
        <v>DIFF</v>
      </c>
    </row>
    <row r="230" customFormat="false" ht="15" hidden="false" customHeight="false" outlineLevel="0" collapsed="false">
      <c r="A230" s="26" t="s">
        <v>427</v>
      </c>
      <c r="B230" s="26" t="s">
        <v>338</v>
      </c>
      <c r="C230" s="26"/>
      <c r="D230" s="26" t="s">
        <v>320</v>
      </c>
      <c r="E230" s="26" t="s">
        <v>320</v>
      </c>
      <c r="F230" s="26" t="s">
        <v>320</v>
      </c>
      <c r="G230" s="26" t="s">
        <v>320</v>
      </c>
      <c r="H230" s="10" t="str">
        <f aca="false">IF(AND(EXACT(D230,E230),EXACT(E230,F230),EXACT(F230,G230)),"Same","DIFF")</f>
        <v>Same</v>
      </c>
    </row>
    <row r="231" customFormat="false" ht="15" hidden="false" customHeight="false" outlineLevel="0" collapsed="false">
      <c r="A231" s="26" t="s">
        <v>427</v>
      </c>
      <c r="B231" s="26" t="s">
        <v>432</v>
      </c>
      <c r="C231" s="26"/>
      <c r="D231" s="26" t="s">
        <v>104</v>
      </c>
      <c r="E231" s="26" t="s">
        <v>104</v>
      </c>
      <c r="F231" s="26" t="s">
        <v>356</v>
      </c>
      <c r="G231" s="26" t="s">
        <v>356</v>
      </c>
      <c r="H231" s="10" t="str">
        <f aca="false">IF(AND(EXACT(D231,E231),EXACT(E231,F231),EXACT(F231,G231)),"Same","DIFF")</f>
        <v>DIFF</v>
      </c>
    </row>
    <row r="232" customFormat="false" ht="15" hidden="false" customHeight="false" outlineLevel="0" collapsed="false">
      <c r="A232" s="26" t="s">
        <v>427</v>
      </c>
      <c r="B232" s="26" t="s">
        <v>433</v>
      </c>
      <c r="C232" s="26"/>
      <c r="D232" s="26" t="s">
        <v>104</v>
      </c>
      <c r="E232" s="26" t="s">
        <v>104</v>
      </c>
      <c r="F232" s="26" t="s">
        <v>356</v>
      </c>
      <c r="G232" s="26" t="s">
        <v>356</v>
      </c>
      <c r="H232" s="10" t="str">
        <f aca="false">IF(AND(EXACT(D232,E232),EXACT(E232,F232),EXACT(F232,G232)),"Same","DIFF")</f>
        <v>DIFF</v>
      </c>
    </row>
    <row r="233" customFormat="false" ht="15" hidden="false" customHeight="false" outlineLevel="0" collapsed="false">
      <c r="A233" s="26" t="s">
        <v>427</v>
      </c>
      <c r="B233" s="26" t="s">
        <v>434</v>
      </c>
      <c r="C233" s="26"/>
      <c r="D233" s="26" t="s">
        <v>104</v>
      </c>
      <c r="E233" s="26" t="s">
        <v>104</v>
      </c>
      <c r="F233" s="26" t="s">
        <v>356</v>
      </c>
      <c r="G233" s="26" t="s">
        <v>356</v>
      </c>
      <c r="H233" s="10" t="str">
        <f aca="false">IF(AND(EXACT(D233,E233),EXACT(E233,F233),EXACT(F233,G233)),"Same","DIFF")</f>
        <v>DIFF</v>
      </c>
    </row>
    <row r="234" customFormat="false" ht="15" hidden="false" customHeight="false" outlineLevel="0" collapsed="false">
      <c r="A234" s="26" t="s">
        <v>427</v>
      </c>
      <c r="B234" s="26" t="s">
        <v>416</v>
      </c>
      <c r="C234" s="26"/>
      <c r="D234" s="26" t="s">
        <v>104</v>
      </c>
      <c r="E234" s="26" t="s">
        <v>104</v>
      </c>
      <c r="F234" s="26" t="s">
        <v>356</v>
      </c>
      <c r="G234" s="26" t="s">
        <v>356</v>
      </c>
      <c r="H234" s="10" t="str">
        <f aca="false">IF(AND(EXACT(D234,E234),EXACT(E234,F234),EXACT(F234,G234)),"Same","DIFF")</f>
        <v>DIFF</v>
      </c>
    </row>
    <row r="235" customFormat="false" ht="15" hidden="false" customHeight="false" outlineLevel="0" collapsed="false">
      <c r="A235" s="26" t="s">
        <v>427</v>
      </c>
      <c r="B235" s="26" t="s">
        <v>358</v>
      </c>
      <c r="C235" s="26"/>
      <c r="D235" s="26" t="s">
        <v>356</v>
      </c>
      <c r="E235" s="26" t="s">
        <v>356</v>
      </c>
      <c r="F235" s="26" t="s">
        <v>356</v>
      </c>
      <c r="G235" s="26" t="s">
        <v>320</v>
      </c>
      <c r="H235" s="10" t="str">
        <f aca="false">IF(AND(EXACT(D235,E235),EXACT(E235,F235),EXACT(F235,G235)),"Same","DIFF")</f>
        <v>DIFF</v>
      </c>
    </row>
    <row r="236" customFormat="false" ht="15" hidden="false" customHeight="false" outlineLevel="0" collapsed="false">
      <c r="A236" s="26" t="s">
        <v>427</v>
      </c>
      <c r="B236" s="26" t="s">
        <v>425</v>
      </c>
      <c r="C236" s="26"/>
      <c r="D236" s="26" t="s">
        <v>356</v>
      </c>
      <c r="E236" s="26" t="s">
        <v>356</v>
      </c>
      <c r="F236" s="26" t="s">
        <v>356</v>
      </c>
      <c r="G236" s="26" t="s">
        <v>356</v>
      </c>
      <c r="H236" s="10" t="str">
        <f aca="false">IF(AND(EXACT(D236,E236),EXACT(E236,F236),EXACT(F236,G236)),"Same","DIFF")</f>
        <v>Same</v>
      </c>
    </row>
    <row r="237" customFormat="false" ht="15" hidden="false" customHeight="false" outlineLevel="0" collapsed="false">
      <c r="A237" s="26" t="s">
        <v>427</v>
      </c>
      <c r="B237" s="26" t="s">
        <v>112</v>
      </c>
      <c r="C237" s="26"/>
      <c r="D237" s="26" t="s">
        <v>104</v>
      </c>
      <c r="E237" s="26" t="s">
        <v>104</v>
      </c>
      <c r="F237" s="26" t="s">
        <v>320</v>
      </c>
      <c r="G237" s="26" t="s">
        <v>320</v>
      </c>
      <c r="H237" s="10" t="str">
        <f aca="false">IF(AND(EXACT(D237,E237),EXACT(E237,F237),EXACT(F237,G237)),"Same","DIFF")</f>
        <v>DIFF</v>
      </c>
    </row>
    <row r="238" customFormat="false" ht="15" hidden="false" customHeight="false" outlineLevel="0" collapsed="false">
      <c r="A238" s="26" t="s">
        <v>427</v>
      </c>
      <c r="B238" s="26" t="s">
        <v>382</v>
      </c>
      <c r="C238" s="26"/>
      <c r="D238" s="26" t="s">
        <v>356</v>
      </c>
      <c r="E238" s="26" t="s">
        <v>356</v>
      </c>
      <c r="F238" s="26" t="s">
        <v>104</v>
      </c>
      <c r="G238" s="26" t="s">
        <v>356</v>
      </c>
      <c r="H238" s="10" t="str">
        <f aca="false">IF(AND(EXACT(D238,E238),EXACT(E238,F238),EXACT(F238,G238)),"Same","DIFF")</f>
        <v>DIFF</v>
      </c>
    </row>
    <row r="239" customFormat="false" ht="15" hidden="false" customHeight="false" outlineLevel="0" collapsed="false">
      <c r="A239" s="26" t="s">
        <v>427</v>
      </c>
      <c r="B239" s="26" t="s">
        <v>344</v>
      </c>
      <c r="C239" s="26"/>
      <c r="D239" s="26" t="s">
        <v>356</v>
      </c>
      <c r="E239" s="26" t="s">
        <v>104</v>
      </c>
      <c r="F239" s="26" t="s">
        <v>104</v>
      </c>
      <c r="G239" s="26" t="s">
        <v>104</v>
      </c>
      <c r="H239" s="10" t="str">
        <f aca="false">IF(AND(EXACT(D239,E239),EXACT(E239,F239),EXACT(F239,G239)),"Same","DIFF")</f>
        <v>DIFF</v>
      </c>
    </row>
    <row r="240" customFormat="false" ht="15" hidden="false" customHeight="false" outlineLevel="0" collapsed="false">
      <c r="A240" s="26" t="s">
        <v>427</v>
      </c>
      <c r="B240" s="26" t="s">
        <v>364</v>
      </c>
      <c r="C240" s="26"/>
      <c r="D240" s="26" t="s">
        <v>356</v>
      </c>
      <c r="E240" s="26" t="s">
        <v>356</v>
      </c>
      <c r="F240" s="26" t="s">
        <v>356</v>
      </c>
      <c r="G240" s="26" t="s">
        <v>356</v>
      </c>
      <c r="H240" s="10" t="str">
        <f aca="false">IF(AND(EXACT(D240,E240),EXACT(E240,F240),EXACT(F240,G240)),"Same","DIFF")</f>
        <v>Same</v>
      </c>
    </row>
    <row r="241" customFormat="false" ht="15" hidden="false" customHeight="false" outlineLevel="0" collapsed="false">
      <c r="A241" s="26" t="s">
        <v>427</v>
      </c>
      <c r="B241" s="26" t="s">
        <v>426</v>
      </c>
      <c r="C241" s="26"/>
      <c r="D241" s="26" t="s">
        <v>356</v>
      </c>
      <c r="E241" s="26" t="s">
        <v>356</v>
      </c>
      <c r="F241" s="26" t="s">
        <v>356</v>
      </c>
      <c r="G241" s="26" t="s">
        <v>356</v>
      </c>
      <c r="H241" s="10" t="str">
        <f aca="false">IF(AND(EXACT(D241,E241),EXACT(E241,F241),EXACT(F241,G241)),"Same","DIFF")</f>
        <v>Same</v>
      </c>
    </row>
    <row r="242" customFormat="false" ht="15" hidden="false" customHeight="false" outlineLevel="0" collapsed="false">
      <c r="A242" s="26" t="s">
        <v>427</v>
      </c>
      <c r="B242" s="26" t="s">
        <v>348</v>
      </c>
      <c r="C242" s="26"/>
      <c r="D242" s="26" t="s">
        <v>320</v>
      </c>
      <c r="E242" s="26" t="s">
        <v>320</v>
      </c>
      <c r="F242" s="26" t="s">
        <v>320</v>
      </c>
      <c r="G242" s="26" t="s">
        <v>320</v>
      </c>
      <c r="H242" s="10" t="str">
        <f aca="false">IF(AND(EXACT(D242,E242),EXACT(E242,F242),EXACT(F242,G242)),"Same","DIFF")</f>
        <v>Same</v>
      </c>
    </row>
    <row r="243" customFormat="false" ht="15" hidden="false" customHeight="false" outlineLevel="0" collapsed="false">
      <c r="A243" s="26" t="s">
        <v>427</v>
      </c>
      <c r="B243" s="26" t="s">
        <v>349</v>
      </c>
      <c r="C243" s="26"/>
      <c r="D243" s="26" t="s">
        <v>320</v>
      </c>
      <c r="E243" s="26" t="s">
        <v>320</v>
      </c>
      <c r="F243" s="26" t="s">
        <v>320</v>
      </c>
      <c r="G243" s="26" t="s">
        <v>320</v>
      </c>
      <c r="H243" s="10" t="str">
        <f aca="false">IF(AND(EXACT(D243,E243),EXACT(E243,F243),EXACT(F243,G243)),"Same","DIFF")</f>
        <v>Same</v>
      </c>
    </row>
    <row r="244" customFormat="false" ht="15" hidden="false" customHeight="false" outlineLevel="0" collapsed="false">
      <c r="A244" s="26" t="s">
        <v>427</v>
      </c>
      <c r="B244" s="26" t="s">
        <v>386</v>
      </c>
      <c r="C244" s="26"/>
      <c r="D244" s="26" t="s">
        <v>104</v>
      </c>
      <c r="E244" s="26" t="s">
        <v>104</v>
      </c>
      <c r="F244" s="26" t="s">
        <v>104</v>
      </c>
      <c r="G244" s="26" t="s">
        <v>320</v>
      </c>
      <c r="H244" s="10" t="str">
        <f aca="false">IF(AND(EXACT(D244,E244),EXACT(E244,F244),EXACT(F244,G244)),"Same","DIFF")</f>
        <v>DIFF</v>
      </c>
    </row>
    <row r="245" customFormat="false" ht="15" hidden="false" customHeight="false" outlineLevel="0" collapsed="false">
      <c r="A245" s="26" t="s">
        <v>435</v>
      </c>
      <c r="B245" s="26" t="s">
        <v>395</v>
      </c>
      <c r="C245" s="26" t="s">
        <v>436</v>
      </c>
      <c r="D245" s="26" t="s">
        <v>104</v>
      </c>
      <c r="E245" s="26" t="s">
        <v>356</v>
      </c>
      <c r="F245" s="26" t="s">
        <v>104</v>
      </c>
      <c r="G245" s="26" t="s">
        <v>104</v>
      </c>
      <c r="H245" s="10" t="str">
        <f aca="false">IF(AND(EXACT(D245,E245),EXACT(E245,F245),EXACT(F245,G245)),"Same","DIFF")</f>
        <v>DIFF</v>
      </c>
    </row>
    <row r="246" customFormat="false" ht="15" hidden="false" customHeight="false" outlineLevel="0" collapsed="false">
      <c r="A246" s="26" t="s">
        <v>435</v>
      </c>
      <c r="B246" s="26" t="s">
        <v>396</v>
      </c>
      <c r="C246" s="26" t="s">
        <v>436</v>
      </c>
      <c r="D246" s="26" t="s">
        <v>104</v>
      </c>
      <c r="E246" s="26" t="s">
        <v>356</v>
      </c>
      <c r="F246" s="26" t="s">
        <v>104</v>
      </c>
      <c r="G246" s="26" t="s">
        <v>104</v>
      </c>
      <c r="H246" s="10" t="str">
        <f aca="false">IF(AND(EXACT(D246,E246),EXACT(E246,F246),EXACT(F246,G246)),"Same","DIFF")</f>
        <v>DIFF</v>
      </c>
    </row>
    <row r="247" customFormat="false" ht="15" hidden="false" customHeight="false" outlineLevel="0" collapsed="false">
      <c r="A247" s="26" t="s">
        <v>435</v>
      </c>
      <c r="B247" s="26" t="s">
        <v>355</v>
      </c>
      <c r="C247" s="26" t="s">
        <v>436</v>
      </c>
      <c r="D247" s="26" t="s">
        <v>356</v>
      </c>
      <c r="E247" s="26" t="s">
        <v>356</v>
      </c>
      <c r="F247" s="26" t="s">
        <v>356</v>
      </c>
      <c r="G247" s="26" t="s">
        <v>356</v>
      </c>
      <c r="H247" s="10" t="str">
        <f aca="false">IF(AND(EXACT(D247,E247),EXACT(E247,F247),EXACT(F247,G247)),"Same","DIFF")</f>
        <v>Same</v>
      </c>
    </row>
    <row r="248" customFormat="false" ht="15" hidden="false" customHeight="false" outlineLevel="0" collapsed="false">
      <c r="A248" s="26" t="s">
        <v>435</v>
      </c>
      <c r="B248" s="26" t="s">
        <v>323</v>
      </c>
      <c r="C248" s="26" t="s">
        <v>436</v>
      </c>
      <c r="D248" s="26" t="s">
        <v>104</v>
      </c>
      <c r="E248" s="26" t="s">
        <v>356</v>
      </c>
      <c r="F248" s="26" t="s">
        <v>104</v>
      </c>
      <c r="G248" s="26" t="s">
        <v>104</v>
      </c>
      <c r="H248" s="10" t="str">
        <f aca="false">IF(AND(EXACT(D248,E248),EXACT(E248,F248),EXACT(F248,G248)),"Same","DIFF")</f>
        <v>DIFF</v>
      </c>
    </row>
    <row r="249" customFormat="false" ht="15" hidden="false" customHeight="false" outlineLevel="0" collapsed="false">
      <c r="A249" s="26" t="s">
        <v>435</v>
      </c>
      <c r="B249" s="26" t="s">
        <v>429</v>
      </c>
      <c r="C249" s="26" t="s">
        <v>436</v>
      </c>
      <c r="D249" s="26" t="s">
        <v>320</v>
      </c>
      <c r="E249" s="26" t="s">
        <v>104</v>
      </c>
      <c r="F249" s="26" t="s">
        <v>104</v>
      </c>
      <c r="G249" s="26" t="s">
        <v>104</v>
      </c>
      <c r="H249" s="10" t="str">
        <f aca="false">IF(AND(EXACT(D249,E249),EXACT(E249,F249),EXACT(F249,G249)),"Same","DIFF")</f>
        <v>DIFF</v>
      </c>
    </row>
    <row r="250" customFormat="false" ht="15" hidden="false" customHeight="false" outlineLevel="0" collapsed="false">
      <c r="A250" s="26" t="s">
        <v>435</v>
      </c>
      <c r="B250" s="26" t="s">
        <v>371</v>
      </c>
      <c r="C250" s="26" t="s">
        <v>436</v>
      </c>
      <c r="D250" s="26" t="s">
        <v>356</v>
      </c>
      <c r="E250" s="26" t="s">
        <v>356</v>
      </c>
      <c r="F250" s="26" t="s">
        <v>356</v>
      </c>
      <c r="G250" s="26" t="s">
        <v>356</v>
      </c>
      <c r="H250" s="10" t="str">
        <f aca="false">IF(AND(EXACT(D250,E250),EXACT(E250,F250),EXACT(F250,G250)),"Same","DIFF")</f>
        <v>Same</v>
      </c>
    </row>
    <row r="251" customFormat="false" ht="15" hidden="false" customHeight="false" outlineLevel="0" collapsed="false">
      <c r="A251" s="26" t="s">
        <v>435</v>
      </c>
      <c r="B251" s="26" t="s">
        <v>373</v>
      </c>
      <c r="C251" s="26" t="s">
        <v>436</v>
      </c>
      <c r="D251" s="26" t="s">
        <v>356</v>
      </c>
      <c r="E251" s="26" t="s">
        <v>356</v>
      </c>
      <c r="F251" s="26" t="s">
        <v>356</v>
      </c>
      <c r="G251" s="26" t="s">
        <v>356</v>
      </c>
      <c r="H251" s="10" t="str">
        <f aca="false">IF(AND(EXACT(D251,E251),EXACT(E251,F251),EXACT(F251,G251)),"Same","DIFF")</f>
        <v>Same</v>
      </c>
    </row>
    <row r="252" customFormat="false" ht="15" hidden="false" customHeight="false" outlineLevel="0" collapsed="false">
      <c r="A252" s="26" t="s">
        <v>435</v>
      </c>
      <c r="B252" s="26" t="s">
        <v>326</v>
      </c>
      <c r="C252" s="26" t="s">
        <v>436</v>
      </c>
      <c r="D252" s="26" t="s">
        <v>320</v>
      </c>
      <c r="E252" s="26" t="s">
        <v>320</v>
      </c>
      <c r="F252" s="26" t="s">
        <v>320</v>
      </c>
      <c r="G252" s="26" t="s">
        <v>320</v>
      </c>
      <c r="H252" s="10" t="str">
        <f aca="false">IF(AND(EXACT(D252,E252),EXACT(E252,F252),EXACT(F252,G252)),"Same","DIFF")</f>
        <v>Same</v>
      </c>
    </row>
    <row r="253" customFormat="false" ht="15" hidden="false" customHeight="false" outlineLevel="0" collapsed="false">
      <c r="A253" s="26" t="s">
        <v>435</v>
      </c>
      <c r="B253" s="26" t="s">
        <v>437</v>
      </c>
      <c r="C253" s="26" t="s">
        <v>436</v>
      </c>
      <c r="D253" s="26" t="s">
        <v>104</v>
      </c>
      <c r="E253" s="26" t="s">
        <v>320</v>
      </c>
      <c r="F253" s="26" t="s">
        <v>104</v>
      </c>
      <c r="G253" s="26" t="s">
        <v>104</v>
      </c>
      <c r="H253" s="10" t="str">
        <f aca="false">IF(AND(EXACT(D253,E253),EXACT(E253,F253),EXACT(F253,G253)),"Same","DIFF")</f>
        <v>DIFF</v>
      </c>
    </row>
    <row r="254" customFormat="false" ht="15" hidden="false" customHeight="false" outlineLevel="0" collapsed="false">
      <c r="A254" s="26" t="s">
        <v>435</v>
      </c>
      <c r="B254" s="26" t="s">
        <v>374</v>
      </c>
      <c r="C254" s="26" t="s">
        <v>436</v>
      </c>
      <c r="D254" s="26" t="s">
        <v>320</v>
      </c>
      <c r="E254" s="26" t="s">
        <v>104</v>
      </c>
      <c r="F254" s="26" t="s">
        <v>104</v>
      </c>
      <c r="G254" s="26" t="s">
        <v>356</v>
      </c>
      <c r="H254" s="10" t="str">
        <f aca="false">IF(AND(EXACT(D254,E254),EXACT(E254,F254),EXACT(F254,G254)),"Same","DIFF")</f>
        <v>DIFF</v>
      </c>
    </row>
    <row r="255" customFormat="false" ht="15" hidden="false" customHeight="false" outlineLevel="0" collapsed="false">
      <c r="A255" s="26" t="s">
        <v>435</v>
      </c>
      <c r="B255" s="26" t="s">
        <v>400</v>
      </c>
      <c r="C255" s="26" t="s">
        <v>436</v>
      </c>
      <c r="D255" s="26" t="s">
        <v>356</v>
      </c>
      <c r="E255" s="26" t="s">
        <v>356</v>
      </c>
      <c r="F255" s="26" t="s">
        <v>356</v>
      </c>
      <c r="G255" s="26" t="s">
        <v>356</v>
      </c>
      <c r="H255" s="10" t="str">
        <f aca="false">IF(AND(EXACT(D255,E255),EXACT(E255,F255),EXACT(F255,G255)),"Same","DIFF")</f>
        <v>Same</v>
      </c>
    </row>
    <row r="256" customFormat="false" ht="15" hidden="false" customHeight="false" outlineLevel="0" collapsed="false">
      <c r="A256" s="26" t="s">
        <v>435</v>
      </c>
      <c r="B256" s="26" t="s">
        <v>328</v>
      </c>
      <c r="C256" s="26" t="s">
        <v>436</v>
      </c>
      <c r="D256" s="26" t="s">
        <v>356</v>
      </c>
      <c r="E256" s="26" t="s">
        <v>356</v>
      </c>
      <c r="F256" s="26" t="s">
        <v>356</v>
      </c>
      <c r="G256" s="26" t="s">
        <v>356</v>
      </c>
      <c r="H256" s="10" t="str">
        <f aca="false">IF(AND(EXACT(D256,E256),EXACT(E256,F256),EXACT(F256,G256)),"Same","DIFF")</f>
        <v>Same</v>
      </c>
    </row>
    <row r="257" customFormat="false" ht="15" hidden="false" customHeight="false" outlineLevel="0" collapsed="false">
      <c r="A257" s="26" t="s">
        <v>435</v>
      </c>
      <c r="B257" s="26" t="s">
        <v>330</v>
      </c>
      <c r="C257" s="26" t="s">
        <v>436</v>
      </c>
      <c r="D257" s="26" t="s">
        <v>356</v>
      </c>
      <c r="E257" s="26" t="s">
        <v>356</v>
      </c>
      <c r="F257" s="26" t="s">
        <v>356</v>
      </c>
      <c r="G257" s="26" t="s">
        <v>356</v>
      </c>
      <c r="H257" s="10" t="str">
        <f aca="false">IF(AND(EXACT(D257,E257),EXACT(E257,F257),EXACT(F257,G257)),"Same","DIFF")</f>
        <v>Same</v>
      </c>
    </row>
    <row r="258" customFormat="false" ht="15" hidden="false" customHeight="false" outlineLevel="0" collapsed="false">
      <c r="A258" s="26" t="s">
        <v>435</v>
      </c>
      <c r="B258" s="26" t="s">
        <v>331</v>
      </c>
      <c r="C258" s="26" t="s">
        <v>436</v>
      </c>
      <c r="D258" s="26" t="s">
        <v>320</v>
      </c>
      <c r="E258" s="26" t="s">
        <v>320</v>
      </c>
      <c r="F258" s="26" t="s">
        <v>320</v>
      </c>
      <c r="G258" s="26" t="s">
        <v>320</v>
      </c>
      <c r="H258" s="10" t="str">
        <f aca="false">IF(AND(EXACT(D258,E258),EXACT(E258,F258),EXACT(F258,G258)),"Same","DIFF")</f>
        <v>Same</v>
      </c>
    </row>
    <row r="259" customFormat="false" ht="15" hidden="false" customHeight="false" outlineLevel="0" collapsed="false">
      <c r="A259" s="26" t="s">
        <v>435</v>
      </c>
      <c r="B259" s="26" t="s">
        <v>375</v>
      </c>
      <c r="C259" s="26" t="s">
        <v>436</v>
      </c>
      <c r="D259" s="26" t="s">
        <v>356</v>
      </c>
      <c r="E259" s="26" t="s">
        <v>356</v>
      </c>
      <c r="F259" s="26" t="s">
        <v>356</v>
      </c>
      <c r="G259" s="26" t="s">
        <v>356</v>
      </c>
      <c r="H259" s="10" t="str">
        <f aca="false">IF(AND(EXACT(D259,E259),EXACT(E259,F259),EXACT(F259,G259)),"Same","DIFF")</f>
        <v>Same</v>
      </c>
    </row>
    <row r="260" customFormat="false" ht="15" hidden="false" customHeight="false" outlineLevel="0" collapsed="false">
      <c r="A260" s="26" t="s">
        <v>435</v>
      </c>
      <c r="B260" s="26" t="s">
        <v>377</v>
      </c>
      <c r="C260" s="26" t="s">
        <v>436</v>
      </c>
      <c r="D260" s="26" t="s">
        <v>104</v>
      </c>
      <c r="E260" s="26" t="s">
        <v>104</v>
      </c>
      <c r="F260" s="26" t="s">
        <v>356</v>
      </c>
      <c r="G260" s="26" t="s">
        <v>356</v>
      </c>
      <c r="H260" s="10" t="str">
        <f aca="false">IF(AND(EXACT(D260,E260),EXACT(E260,F260),EXACT(F260,G260)),"Same","DIFF")</f>
        <v>DIFF</v>
      </c>
    </row>
    <row r="261" customFormat="false" ht="15" hidden="false" customHeight="false" outlineLevel="0" collapsed="false">
      <c r="A261" s="26" t="s">
        <v>435</v>
      </c>
      <c r="B261" s="26" t="s">
        <v>402</v>
      </c>
      <c r="C261" s="26" t="s">
        <v>436</v>
      </c>
      <c r="D261" s="26" t="s">
        <v>104</v>
      </c>
      <c r="E261" s="26" t="s">
        <v>104</v>
      </c>
      <c r="F261" s="26" t="s">
        <v>356</v>
      </c>
      <c r="G261" s="26" t="s">
        <v>356</v>
      </c>
      <c r="H261" s="10" t="str">
        <f aca="false">IF(AND(EXACT(D261,E261),EXACT(E261,F261),EXACT(F261,G261)),"Same","DIFF")</f>
        <v>DIFF</v>
      </c>
    </row>
    <row r="262" customFormat="false" ht="15" hidden="false" customHeight="false" outlineLevel="0" collapsed="false">
      <c r="A262" s="26" t="s">
        <v>435</v>
      </c>
      <c r="B262" s="26" t="s">
        <v>378</v>
      </c>
      <c r="C262" s="26" t="s">
        <v>436</v>
      </c>
      <c r="D262" s="26" t="s">
        <v>104</v>
      </c>
      <c r="E262" s="26" t="s">
        <v>104</v>
      </c>
      <c r="F262" s="26" t="s">
        <v>356</v>
      </c>
      <c r="G262" s="26" t="s">
        <v>356</v>
      </c>
      <c r="H262" s="10" t="str">
        <f aca="false">IF(AND(EXACT(D262,E262),EXACT(E262,F262),EXACT(F262,G262)),"Same","DIFF")</f>
        <v>DIFF</v>
      </c>
    </row>
    <row r="263" customFormat="false" ht="15" hidden="false" customHeight="false" outlineLevel="0" collapsed="false">
      <c r="A263" s="26" t="s">
        <v>435</v>
      </c>
      <c r="B263" s="26" t="s">
        <v>403</v>
      </c>
      <c r="C263" s="26" t="s">
        <v>436</v>
      </c>
      <c r="D263" s="26" t="s">
        <v>104</v>
      </c>
      <c r="E263" s="26" t="s">
        <v>104</v>
      </c>
      <c r="F263" s="26" t="s">
        <v>356</v>
      </c>
      <c r="G263" s="26" t="s">
        <v>356</v>
      </c>
      <c r="H263" s="10" t="str">
        <f aca="false">IF(AND(EXACT(D263,E263),EXACT(E263,F263),EXACT(F263,G263)),"Same","DIFF")</f>
        <v>DIFF</v>
      </c>
    </row>
    <row r="264" customFormat="false" ht="15" hidden="false" customHeight="false" outlineLevel="0" collapsed="false">
      <c r="A264" s="26" t="s">
        <v>435</v>
      </c>
      <c r="B264" s="26" t="s">
        <v>404</v>
      </c>
      <c r="C264" s="26" t="s">
        <v>436</v>
      </c>
      <c r="D264" s="26" t="s">
        <v>104</v>
      </c>
      <c r="E264" s="26" t="s">
        <v>104</v>
      </c>
      <c r="F264" s="26" t="s">
        <v>356</v>
      </c>
      <c r="G264" s="26" t="s">
        <v>356</v>
      </c>
      <c r="H264" s="10" t="str">
        <f aca="false">IF(AND(EXACT(D264,E264),EXACT(E264,F264),EXACT(F264,G264)),"Same","DIFF")</f>
        <v>DIFF</v>
      </c>
    </row>
    <row r="265" customFormat="false" ht="15" hidden="false" customHeight="false" outlineLevel="0" collapsed="false">
      <c r="A265" s="26" t="s">
        <v>435</v>
      </c>
      <c r="B265" s="26" t="s">
        <v>379</v>
      </c>
      <c r="C265" s="26" t="s">
        <v>436</v>
      </c>
      <c r="D265" s="26" t="s">
        <v>104</v>
      </c>
      <c r="E265" s="26" t="s">
        <v>104</v>
      </c>
      <c r="F265" s="26" t="s">
        <v>356</v>
      </c>
      <c r="G265" s="26" t="s">
        <v>356</v>
      </c>
      <c r="H265" s="10" t="str">
        <f aca="false">IF(AND(EXACT(D265,E265),EXACT(E265,F265),EXACT(F265,G265)),"Same","DIFF")</f>
        <v>DIFF</v>
      </c>
    </row>
    <row r="266" customFormat="false" ht="15" hidden="false" customHeight="false" outlineLevel="0" collapsed="false">
      <c r="A266" s="26" t="s">
        <v>435</v>
      </c>
      <c r="B266" s="26" t="s">
        <v>405</v>
      </c>
      <c r="C266" s="26" t="s">
        <v>436</v>
      </c>
      <c r="D266" s="26" t="s">
        <v>104</v>
      </c>
      <c r="E266" s="26" t="s">
        <v>104</v>
      </c>
      <c r="F266" s="26" t="s">
        <v>356</v>
      </c>
      <c r="G266" s="26" t="s">
        <v>356</v>
      </c>
      <c r="H266" s="10" t="str">
        <f aca="false">IF(AND(EXACT(D266,E266),EXACT(E266,F266),EXACT(F266,G266)),"Same","DIFF")</f>
        <v>DIFF</v>
      </c>
    </row>
    <row r="267" customFormat="false" ht="15" hidden="false" customHeight="false" outlineLevel="0" collapsed="false">
      <c r="A267" s="26" t="s">
        <v>435</v>
      </c>
      <c r="B267" s="26" t="s">
        <v>406</v>
      </c>
      <c r="C267" s="26" t="s">
        <v>436</v>
      </c>
      <c r="D267" s="26" t="s">
        <v>104</v>
      </c>
      <c r="E267" s="26" t="s">
        <v>104</v>
      </c>
      <c r="F267" s="26" t="s">
        <v>356</v>
      </c>
      <c r="G267" s="26" t="s">
        <v>356</v>
      </c>
      <c r="H267" s="10" t="str">
        <f aca="false">IF(AND(EXACT(D267,E267),EXACT(E267,F267),EXACT(F267,G267)),"Same","DIFF")</f>
        <v>DIFF</v>
      </c>
    </row>
    <row r="268" customFormat="false" ht="15" hidden="false" customHeight="false" outlineLevel="0" collapsed="false">
      <c r="A268" s="26" t="s">
        <v>435</v>
      </c>
      <c r="B268" s="26" t="s">
        <v>407</v>
      </c>
      <c r="C268" s="26" t="s">
        <v>436</v>
      </c>
      <c r="D268" s="26" t="s">
        <v>104</v>
      </c>
      <c r="E268" s="26" t="s">
        <v>104</v>
      </c>
      <c r="F268" s="26" t="s">
        <v>356</v>
      </c>
      <c r="G268" s="26" t="s">
        <v>356</v>
      </c>
      <c r="H268" s="10" t="str">
        <f aca="false">IF(AND(EXACT(D268,E268),EXACT(E268,F268),EXACT(F268,G268)),"Same","DIFF")</f>
        <v>DIFF</v>
      </c>
    </row>
    <row r="269" customFormat="false" ht="15" hidden="false" customHeight="false" outlineLevel="0" collapsed="false">
      <c r="A269" s="26" t="s">
        <v>435</v>
      </c>
      <c r="B269" s="26" t="s">
        <v>410</v>
      </c>
      <c r="C269" s="26" t="s">
        <v>436</v>
      </c>
      <c r="D269" s="26" t="s">
        <v>104</v>
      </c>
      <c r="E269" s="26" t="s">
        <v>104</v>
      </c>
      <c r="F269" s="26" t="s">
        <v>356</v>
      </c>
      <c r="G269" s="26" t="s">
        <v>356</v>
      </c>
      <c r="H269" s="10" t="str">
        <f aca="false">IF(AND(EXACT(D269,E269),EXACT(E269,F269),EXACT(F269,G269)),"Same","DIFF")</f>
        <v>DIFF</v>
      </c>
    </row>
    <row r="270" customFormat="false" ht="15" hidden="false" customHeight="false" outlineLevel="0" collapsed="false">
      <c r="A270" s="26" t="s">
        <v>435</v>
      </c>
      <c r="B270" s="26" t="s">
        <v>411</v>
      </c>
      <c r="C270" s="26" t="s">
        <v>436</v>
      </c>
      <c r="D270" s="26" t="s">
        <v>104</v>
      </c>
      <c r="E270" s="26" t="s">
        <v>104</v>
      </c>
      <c r="F270" s="26" t="s">
        <v>356</v>
      </c>
      <c r="G270" s="26" t="s">
        <v>356</v>
      </c>
      <c r="H270" s="10" t="str">
        <f aca="false">IF(AND(EXACT(D270,E270),EXACT(E270,F270),EXACT(F270,G270)),"Same","DIFF")</f>
        <v>DIFF</v>
      </c>
    </row>
    <row r="271" customFormat="false" ht="15" hidden="false" customHeight="false" outlineLevel="0" collapsed="false">
      <c r="A271" s="26" t="s">
        <v>435</v>
      </c>
      <c r="B271" s="26" t="s">
        <v>412</v>
      </c>
      <c r="C271" s="26" t="s">
        <v>436</v>
      </c>
      <c r="D271" s="26" t="s">
        <v>104</v>
      </c>
      <c r="E271" s="26" t="s">
        <v>104</v>
      </c>
      <c r="F271" s="26" t="s">
        <v>356</v>
      </c>
      <c r="G271" s="26" t="s">
        <v>356</v>
      </c>
      <c r="H271" s="10" t="str">
        <f aca="false">IF(AND(EXACT(D271,E271),EXACT(E271,F271),EXACT(F271,G271)),"Same","DIFF")</f>
        <v>DIFF</v>
      </c>
    </row>
    <row r="272" customFormat="false" ht="15" hidden="false" customHeight="false" outlineLevel="0" collapsed="false">
      <c r="A272" s="26" t="s">
        <v>435</v>
      </c>
      <c r="B272" s="26" t="s">
        <v>415</v>
      </c>
      <c r="C272" s="26" t="s">
        <v>436</v>
      </c>
      <c r="D272" s="26" t="s">
        <v>104</v>
      </c>
      <c r="E272" s="26" t="s">
        <v>104</v>
      </c>
      <c r="F272" s="26" t="s">
        <v>356</v>
      </c>
      <c r="G272" s="26" t="s">
        <v>356</v>
      </c>
      <c r="H272" s="10" t="str">
        <f aca="false">IF(AND(EXACT(D272,E272),EXACT(E272,F272),EXACT(F272,G272)),"Same","DIFF")</f>
        <v>DIFF</v>
      </c>
    </row>
    <row r="273" customFormat="false" ht="15" hidden="false" customHeight="false" outlineLevel="0" collapsed="false">
      <c r="A273" s="26" t="s">
        <v>435</v>
      </c>
      <c r="B273" s="26" t="s">
        <v>389</v>
      </c>
      <c r="C273" s="26" t="s">
        <v>436</v>
      </c>
      <c r="D273" s="26" t="s">
        <v>356</v>
      </c>
      <c r="E273" s="26" t="s">
        <v>356</v>
      </c>
      <c r="F273" s="26" t="s">
        <v>356</v>
      </c>
      <c r="G273" s="26" t="s">
        <v>356</v>
      </c>
      <c r="H273" s="10" t="str">
        <f aca="false">IF(AND(EXACT(D273,E273),EXACT(E273,F273),EXACT(F273,G273)),"Same","DIFF")</f>
        <v>Same</v>
      </c>
    </row>
    <row r="274" customFormat="false" ht="15" hidden="false" customHeight="false" outlineLevel="0" collapsed="false">
      <c r="A274" s="26" t="s">
        <v>435</v>
      </c>
      <c r="B274" s="26" t="s">
        <v>380</v>
      </c>
      <c r="C274" s="26" t="s">
        <v>436</v>
      </c>
      <c r="D274" s="26" t="s">
        <v>104</v>
      </c>
      <c r="E274" s="26" t="s">
        <v>320</v>
      </c>
      <c r="F274" s="26" t="s">
        <v>356</v>
      </c>
      <c r="G274" s="26" t="s">
        <v>320</v>
      </c>
      <c r="H274" s="10" t="str">
        <f aca="false">IF(AND(EXACT(D274,E274),EXACT(E274,F274),EXACT(F274,G274)),"Same","DIFF")</f>
        <v>DIFF</v>
      </c>
    </row>
    <row r="275" customFormat="false" ht="15" hidden="false" customHeight="false" outlineLevel="0" collapsed="false">
      <c r="A275" s="26" t="s">
        <v>435</v>
      </c>
      <c r="B275" s="26" t="s">
        <v>338</v>
      </c>
      <c r="C275" s="26" t="s">
        <v>436</v>
      </c>
      <c r="D275" s="26" t="s">
        <v>320</v>
      </c>
      <c r="E275" s="26" t="s">
        <v>320</v>
      </c>
      <c r="F275" s="26" t="s">
        <v>320</v>
      </c>
      <c r="G275" s="26" t="s">
        <v>320</v>
      </c>
      <c r="H275" s="10" t="str">
        <f aca="false">IF(AND(EXACT(D275,E275),EXACT(E275,F275),EXACT(F275,G275)),"Same","DIFF")</f>
        <v>Same</v>
      </c>
    </row>
    <row r="276" customFormat="false" ht="15" hidden="false" customHeight="false" outlineLevel="0" collapsed="false">
      <c r="A276" s="26" t="s">
        <v>435</v>
      </c>
      <c r="B276" s="26" t="s">
        <v>358</v>
      </c>
      <c r="C276" s="26" t="s">
        <v>436</v>
      </c>
      <c r="D276" s="26" t="s">
        <v>356</v>
      </c>
      <c r="E276" s="26" t="s">
        <v>356</v>
      </c>
      <c r="F276" s="26" t="s">
        <v>356</v>
      </c>
      <c r="G276" s="26" t="s">
        <v>356</v>
      </c>
      <c r="H276" s="10" t="str">
        <f aca="false">IF(AND(EXACT(D276,E276),EXACT(E276,F276),EXACT(F276,G276)),"Same","DIFF")</f>
        <v>Same</v>
      </c>
    </row>
    <row r="277" customFormat="false" ht="15" hidden="false" customHeight="false" outlineLevel="0" collapsed="false">
      <c r="A277" s="26" t="s">
        <v>435</v>
      </c>
      <c r="B277" s="26" t="s">
        <v>425</v>
      </c>
      <c r="C277" s="26" t="s">
        <v>436</v>
      </c>
      <c r="D277" s="26" t="s">
        <v>356</v>
      </c>
      <c r="E277" s="26" t="s">
        <v>356</v>
      </c>
      <c r="F277" s="26" t="s">
        <v>356</v>
      </c>
      <c r="G277" s="26" t="s">
        <v>356</v>
      </c>
      <c r="H277" s="10" t="str">
        <f aca="false">IF(AND(EXACT(D277,E277),EXACT(E277,F277),EXACT(F277,G277)),"Same","DIFF")</f>
        <v>Same</v>
      </c>
    </row>
    <row r="278" customFormat="false" ht="15" hidden="false" customHeight="false" outlineLevel="0" collapsed="false">
      <c r="A278" s="26" t="s">
        <v>435</v>
      </c>
      <c r="B278" s="26" t="s">
        <v>382</v>
      </c>
      <c r="C278" s="26" t="s">
        <v>436</v>
      </c>
      <c r="D278" s="26" t="s">
        <v>356</v>
      </c>
      <c r="E278" s="26" t="s">
        <v>356</v>
      </c>
      <c r="F278" s="26" t="s">
        <v>356</v>
      </c>
      <c r="G278" s="26" t="s">
        <v>356</v>
      </c>
      <c r="H278" s="10" t="str">
        <f aca="false">IF(AND(EXACT(D278,E278),EXACT(E278,F278),EXACT(F278,G278)),"Same","DIFF")</f>
        <v>Same</v>
      </c>
    </row>
    <row r="279" customFormat="false" ht="15" hidden="false" customHeight="false" outlineLevel="0" collapsed="false">
      <c r="A279" s="26" t="s">
        <v>435</v>
      </c>
      <c r="B279" s="26" t="s">
        <v>364</v>
      </c>
      <c r="C279" s="26" t="s">
        <v>436</v>
      </c>
      <c r="D279" s="26" t="s">
        <v>356</v>
      </c>
      <c r="E279" s="26" t="s">
        <v>356</v>
      </c>
      <c r="F279" s="26" t="s">
        <v>356</v>
      </c>
      <c r="G279" s="26" t="s">
        <v>356</v>
      </c>
      <c r="H279" s="10" t="str">
        <f aca="false">IF(AND(EXACT(D279,E279),EXACT(E279,F279),EXACT(F279,G279)),"Same","DIFF")</f>
        <v>Same</v>
      </c>
    </row>
    <row r="280" customFormat="false" ht="15" hidden="false" customHeight="false" outlineLevel="0" collapsed="false">
      <c r="A280" s="26" t="s">
        <v>435</v>
      </c>
      <c r="B280" s="26" t="s">
        <v>426</v>
      </c>
      <c r="C280" s="26" t="s">
        <v>436</v>
      </c>
      <c r="D280" s="26" t="s">
        <v>356</v>
      </c>
      <c r="E280" s="26" t="s">
        <v>356</v>
      </c>
      <c r="F280" s="26" t="s">
        <v>356</v>
      </c>
      <c r="G280" s="26" t="s">
        <v>356</v>
      </c>
      <c r="H280" s="10" t="str">
        <f aca="false">IF(AND(EXACT(D280,E280),EXACT(E280,F280),EXACT(F280,G280)),"Same","DIFF")</f>
        <v>Same</v>
      </c>
    </row>
    <row r="281" customFormat="false" ht="15" hidden="false" customHeight="false" outlineLevel="0" collapsed="false">
      <c r="A281" s="26" t="s">
        <v>435</v>
      </c>
      <c r="B281" s="26" t="s">
        <v>348</v>
      </c>
      <c r="C281" s="26" t="s">
        <v>436</v>
      </c>
      <c r="D281" s="26" t="s">
        <v>320</v>
      </c>
      <c r="E281" s="26" t="s">
        <v>104</v>
      </c>
      <c r="F281" s="26" t="s">
        <v>356</v>
      </c>
      <c r="G281" s="26" t="s">
        <v>356</v>
      </c>
      <c r="H281" s="10" t="str">
        <f aca="false">IF(AND(EXACT(D281,E281),EXACT(E281,F281),EXACT(F281,G281)),"Same","DIFF")</f>
        <v>DIFF</v>
      </c>
    </row>
    <row r="282" customFormat="false" ht="15" hidden="false" customHeight="false" outlineLevel="0" collapsed="false">
      <c r="A282" s="26" t="s">
        <v>435</v>
      </c>
      <c r="B282" s="26" t="s">
        <v>349</v>
      </c>
      <c r="C282" s="26" t="s">
        <v>436</v>
      </c>
      <c r="D282" s="26" t="s">
        <v>320</v>
      </c>
      <c r="E282" s="26" t="s">
        <v>320</v>
      </c>
      <c r="F282" s="26" t="s">
        <v>104</v>
      </c>
      <c r="G282" s="26" t="s">
        <v>320</v>
      </c>
      <c r="H282" s="10" t="str">
        <f aca="false">IF(AND(EXACT(D282,E282),EXACT(E282,F282),EXACT(F282,G282)),"Same","DIFF")</f>
        <v>DIFF</v>
      </c>
    </row>
    <row r="283" customFormat="false" ht="15" hidden="false" customHeight="false" outlineLevel="0" collapsed="false">
      <c r="A283" s="26" t="s">
        <v>438</v>
      </c>
      <c r="B283" s="26" t="s">
        <v>395</v>
      </c>
      <c r="C283" s="26"/>
      <c r="D283" s="26" t="s">
        <v>104</v>
      </c>
      <c r="E283" s="26" t="s">
        <v>356</v>
      </c>
      <c r="F283" s="26" t="s">
        <v>104</v>
      </c>
      <c r="G283" s="26" t="s">
        <v>104</v>
      </c>
      <c r="H283" s="10" t="str">
        <f aca="false">IF(AND(EXACT(D283,E283),EXACT(E283,F283),EXACT(F283,G283)),"Same","DIFF")</f>
        <v>DIFF</v>
      </c>
    </row>
    <row r="284" customFormat="false" ht="15" hidden="false" customHeight="false" outlineLevel="0" collapsed="false">
      <c r="A284" s="26" t="s">
        <v>438</v>
      </c>
      <c r="B284" s="26" t="s">
        <v>396</v>
      </c>
      <c r="C284" s="26"/>
      <c r="D284" s="26" t="s">
        <v>104</v>
      </c>
      <c r="E284" s="26" t="s">
        <v>356</v>
      </c>
      <c r="F284" s="26" t="s">
        <v>104</v>
      </c>
      <c r="G284" s="26" t="s">
        <v>104</v>
      </c>
      <c r="H284" s="10" t="str">
        <f aca="false">IF(AND(EXACT(D284,E284),EXACT(E284,F284),EXACT(F284,G284)),"Same","DIFF")</f>
        <v>DIFF</v>
      </c>
    </row>
    <row r="285" customFormat="false" ht="15" hidden="false" customHeight="false" outlineLevel="0" collapsed="false">
      <c r="A285" s="26" t="s">
        <v>438</v>
      </c>
      <c r="B285" s="26" t="s">
        <v>355</v>
      </c>
      <c r="C285" s="26"/>
      <c r="D285" s="26" t="s">
        <v>356</v>
      </c>
      <c r="E285" s="26" t="s">
        <v>356</v>
      </c>
      <c r="F285" s="26" t="s">
        <v>356</v>
      </c>
      <c r="G285" s="26" t="s">
        <v>356</v>
      </c>
      <c r="H285" s="10" t="str">
        <f aca="false">IF(AND(EXACT(D285,E285),EXACT(E285,F285),EXACT(F285,G285)),"Same","DIFF")</f>
        <v>Same</v>
      </c>
    </row>
    <row r="286" customFormat="false" ht="15" hidden="false" customHeight="false" outlineLevel="0" collapsed="false">
      <c r="A286" s="26" t="s">
        <v>438</v>
      </c>
      <c r="B286" s="26" t="s">
        <v>369</v>
      </c>
      <c r="C286" s="26"/>
      <c r="D286" s="26" t="s">
        <v>104</v>
      </c>
      <c r="E286" s="26" t="s">
        <v>356</v>
      </c>
      <c r="F286" s="26" t="s">
        <v>104</v>
      </c>
      <c r="G286" s="26" t="s">
        <v>104</v>
      </c>
      <c r="H286" s="10" t="str">
        <f aca="false">IF(AND(EXACT(D286,E286),EXACT(E286,F286),EXACT(F286,G286)),"Same","DIFF")</f>
        <v>DIFF</v>
      </c>
    </row>
    <row r="287" customFormat="false" ht="15" hidden="false" customHeight="false" outlineLevel="0" collapsed="false">
      <c r="A287" s="26" t="s">
        <v>438</v>
      </c>
      <c r="B287" s="26" t="s">
        <v>439</v>
      </c>
      <c r="C287" s="26"/>
      <c r="D287" s="26" t="s">
        <v>356</v>
      </c>
      <c r="E287" s="26" t="s">
        <v>356</v>
      </c>
      <c r="F287" s="26" t="s">
        <v>104</v>
      </c>
      <c r="G287" s="26" t="s">
        <v>104</v>
      </c>
      <c r="H287" s="10" t="str">
        <f aca="false">IF(AND(EXACT(D287,E287),EXACT(E287,F287),EXACT(F287,G287)),"Same","DIFF")</f>
        <v>DIFF</v>
      </c>
    </row>
    <row r="288" customFormat="false" ht="15" hidden="false" customHeight="false" outlineLevel="0" collapsed="false">
      <c r="A288" s="26" t="s">
        <v>438</v>
      </c>
      <c r="B288" s="26" t="s">
        <v>323</v>
      </c>
      <c r="C288" s="26"/>
      <c r="D288" s="26" t="s">
        <v>320</v>
      </c>
      <c r="E288" s="26" t="s">
        <v>320</v>
      </c>
      <c r="F288" s="26" t="s">
        <v>320</v>
      </c>
      <c r="G288" s="26" t="s">
        <v>320</v>
      </c>
      <c r="H288" s="10" t="str">
        <f aca="false">IF(AND(EXACT(D288,E288),EXACT(E288,F288),EXACT(F288,G288)),"Same","DIFF")</f>
        <v>Same</v>
      </c>
    </row>
    <row r="289" customFormat="false" ht="15" hidden="false" customHeight="false" outlineLevel="0" collapsed="false">
      <c r="A289" s="26" t="s">
        <v>438</v>
      </c>
      <c r="B289" s="26" t="s">
        <v>326</v>
      </c>
      <c r="C289" s="26"/>
      <c r="D289" s="26" t="s">
        <v>320</v>
      </c>
      <c r="E289" s="26" t="s">
        <v>320</v>
      </c>
      <c r="F289" s="26" t="s">
        <v>320</v>
      </c>
      <c r="G289" s="26" t="s">
        <v>320</v>
      </c>
      <c r="H289" s="10" t="str">
        <f aca="false">IF(AND(EXACT(D289,E289),EXACT(E289,F289),EXACT(F289,G289)),"Same","DIFF")</f>
        <v>Same</v>
      </c>
    </row>
    <row r="290" customFormat="false" ht="15" hidden="false" customHeight="false" outlineLevel="0" collapsed="false">
      <c r="A290" s="26" t="s">
        <v>438</v>
      </c>
      <c r="B290" s="26" t="s">
        <v>374</v>
      </c>
      <c r="C290" s="26"/>
      <c r="D290" s="26" t="s">
        <v>104</v>
      </c>
      <c r="E290" s="26" t="s">
        <v>104</v>
      </c>
      <c r="F290" s="26" t="s">
        <v>320</v>
      </c>
      <c r="G290" s="26" t="s">
        <v>320</v>
      </c>
      <c r="H290" s="10" t="str">
        <f aca="false">IF(AND(EXACT(D290,E290),EXACT(E290,F290),EXACT(F290,G290)),"Same","DIFF")</f>
        <v>DIFF</v>
      </c>
    </row>
    <row r="291" customFormat="false" ht="15" hidden="false" customHeight="false" outlineLevel="0" collapsed="false">
      <c r="A291" s="26" t="s">
        <v>438</v>
      </c>
      <c r="B291" s="26" t="s">
        <v>400</v>
      </c>
      <c r="C291" s="26"/>
      <c r="D291" s="26" t="s">
        <v>356</v>
      </c>
      <c r="E291" s="26" t="s">
        <v>356</v>
      </c>
      <c r="F291" s="26" t="s">
        <v>356</v>
      </c>
      <c r="G291" s="26" t="s">
        <v>356</v>
      </c>
      <c r="H291" s="10" t="str">
        <f aca="false">IF(AND(EXACT(D291,E291),EXACT(E291,F291),EXACT(F291,G291)),"Same","DIFF")</f>
        <v>Same</v>
      </c>
    </row>
    <row r="292" customFormat="false" ht="15" hidden="false" customHeight="false" outlineLevel="0" collapsed="false">
      <c r="A292" s="26" t="s">
        <v>438</v>
      </c>
      <c r="B292" s="26" t="s">
        <v>328</v>
      </c>
      <c r="C292" s="26"/>
      <c r="D292" s="26" t="s">
        <v>356</v>
      </c>
      <c r="E292" s="26" t="s">
        <v>356</v>
      </c>
      <c r="F292" s="26" t="s">
        <v>356</v>
      </c>
      <c r="G292" s="26" t="s">
        <v>356</v>
      </c>
      <c r="H292" s="10" t="str">
        <f aca="false">IF(AND(EXACT(D292,E292),EXACT(E292,F292),EXACT(F292,G292)),"Same","DIFF")</f>
        <v>Same</v>
      </c>
    </row>
    <row r="293" customFormat="false" ht="15" hidden="false" customHeight="false" outlineLevel="0" collapsed="false">
      <c r="A293" s="26" t="s">
        <v>438</v>
      </c>
      <c r="B293" s="26" t="s">
        <v>330</v>
      </c>
      <c r="C293" s="26"/>
      <c r="D293" s="26" t="s">
        <v>356</v>
      </c>
      <c r="E293" s="26" t="s">
        <v>356</v>
      </c>
      <c r="F293" s="26" t="s">
        <v>356</v>
      </c>
      <c r="G293" s="26" t="s">
        <v>356</v>
      </c>
      <c r="H293" s="10" t="str">
        <f aca="false">IF(AND(EXACT(D293,E293),EXACT(E293,F293),EXACT(F293,G293)),"Same","DIFF")</f>
        <v>Same</v>
      </c>
    </row>
    <row r="294" customFormat="false" ht="15" hidden="false" customHeight="false" outlineLevel="0" collapsed="false">
      <c r="A294" s="26" t="s">
        <v>438</v>
      </c>
      <c r="B294" s="26" t="s">
        <v>331</v>
      </c>
      <c r="C294" s="26"/>
      <c r="D294" s="26" t="s">
        <v>320</v>
      </c>
      <c r="E294" s="26" t="s">
        <v>320</v>
      </c>
      <c r="F294" s="26" t="s">
        <v>320</v>
      </c>
      <c r="G294" s="26" t="s">
        <v>320</v>
      </c>
      <c r="H294" s="10" t="str">
        <f aca="false">IF(AND(EXACT(D294,E294),EXACT(E294,F294),EXACT(F294,G294)),"Same","DIFF")</f>
        <v>Same</v>
      </c>
    </row>
    <row r="295" customFormat="false" ht="15" hidden="false" customHeight="false" outlineLevel="0" collapsed="false">
      <c r="A295" s="26" t="s">
        <v>438</v>
      </c>
      <c r="B295" s="26" t="s">
        <v>375</v>
      </c>
      <c r="C295" s="26"/>
      <c r="D295" s="26" t="s">
        <v>320</v>
      </c>
      <c r="E295" s="26" t="s">
        <v>104</v>
      </c>
      <c r="F295" s="26" t="s">
        <v>104</v>
      </c>
      <c r="G295" s="26" t="s">
        <v>104</v>
      </c>
      <c r="H295" s="10" t="str">
        <f aca="false">IF(AND(EXACT(D295,E295),EXACT(E295,F295),EXACT(F295,G295)),"Same","DIFF")</f>
        <v>DIFF</v>
      </c>
    </row>
    <row r="296" customFormat="false" ht="15" hidden="false" customHeight="false" outlineLevel="0" collapsed="false">
      <c r="A296" s="26" t="s">
        <v>438</v>
      </c>
      <c r="B296" s="26" t="s">
        <v>376</v>
      </c>
      <c r="C296" s="26"/>
      <c r="D296" s="26" t="s">
        <v>320</v>
      </c>
      <c r="E296" s="26" t="s">
        <v>320</v>
      </c>
      <c r="F296" s="26" t="s">
        <v>320</v>
      </c>
      <c r="G296" s="26" t="s">
        <v>320</v>
      </c>
      <c r="H296" s="10" t="str">
        <f aca="false">IF(AND(EXACT(D296,E296),EXACT(E296,F296),EXACT(F296,G296)),"Same","DIFF")</f>
        <v>Same</v>
      </c>
    </row>
    <row r="297" customFormat="false" ht="15" hidden="false" customHeight="false" outlineLevel="0" collapsed="false">
      <c r="A297" s="26" t="s">
        <v>438</v>
      </c>
      <c r="B297" s="26" t="s">
        <v>402</v>
      </c>
      <c r="C297" s="26"/>
      <c r="D297" s="26" t="s">
        <v>104</v>
      </c>
      <c r="E297" s="26" t="s">
        <v>356</v>
      </c>
      <c r="F297" s="26" t="s">
        <v>356</v>
      </c>
      <c r="G297" s="26" t="s">
        <v>356</v>
      </c>
      <c r="H297" s="10" t="str">
        <f aca="false">IF(AND(EXACT(D297,E297),EXACT(E297,F297),EXACT(F297,G297)),"Same","DIFF")</f>
        <v>DIFF</v>
      </c>
    </row>
    <row r="298" customFormat="false" ht="15" hidden="false" customHeight="false" outlineLevel="0" collapsed="false">
      <c r="A298" s="26" t="s">
        <v>438</v>
      </c>
      <c r="B298" s="26" t="s">
        <v>378</v>
      </c>
      <c r="C298" s="26"/>
      <c r="D298" s="26" t="s">
        <v>104</v>
      </c>
      <c r="E298" s="26" t="s">
        <v>356</v>
      </c>
      <c r="F298" s="26" t="s">
        <v>356</v>
      </c>
      <c r="G298" s="26" t="s">
        <v>356</v>
      </c>
      <c r="H298" s="10" t="str">
        <f aca="false">IF(AND(EXACT(D298,E298),EXACT(E298,F298),EXACT(F298,G298)),"Same","DIFF")</f>
        <v>DIFF</v>
      </c>
    </row>
    <row r="299" customFormat="false" ht="15" hidden="false" customHeight="false" outlineLevel="0" collapsed="false">
      <c r="A299" s="26" t="s">
        <v>438</v>
      </c>
      <c r="B299" s="26" t="s">
        <v>403</v>
      </c>
      <c r="C299" s="26"/>
      <c r="D299" s="26" t="s">
        <v>104</v>
      </c>
      <c r="E299" s="26" t="s">
        <v>356</v>
      </c>
      <c r="F299" s="26" t="s">
        <v>356</v>
      </c>
      <c r="G299" s="26" t="s">
        <v>356</v>
      </c>
      <c r="H299" s="10" t="str">
        <f aca="false">IF(AND(EXACT(D299,E299),EXACT(E299,F299),EXACT(F299,G299)),"Same","DIFF")</f>
        <v>DIFF</v>
      </c>
    </row>
    <row r="300" customFormat="false" ht="15" hidden="false" customHeight="false" outlineLevel="0" collapsed="false">
      <c r="A300" s="26" t="s">
        <v>438</v>
      </c>
      <c r="B300" s="26" t="s">
        <v>404</v>
      </c>
      <c r="C300" s="26"/>
      <c r="D300" s="26" t="s">
        <v>104</v>
      </c>
      <c r="E300" s="26" t="s">
        <v>356</v>
      </c>
      <c r="F300" s="26" t="s">
        <v>356</v>
      </c>
      <c r="G300" s="26" t="s">
        <v>356</v>
      </c>
      <c r="H300" s="10" t="str">
        <f aca="false">IF(AND(EXACT(D300,E300),EXACT(E300,F300),EXACT(F300,G300)),"Same","DIFF")</f>
        <v>DIFF</v>
      </c>
    </row>
    <row r="301" customFormat="false" ht="15" hidden="false" customHeight="false" outlineLevel="0" collapsed="false">
      <c r="A301" s="26" t="s">
        <v>438</v>
      </c>
      <c r="B301" s="26" t="s">
        <v>379</v>
      </c>
      <c r="C301" s="26"/>
      <c r="D301" s="26" t="s">
        <v>104</v>
      </c>
      <c r="E301" s="26" t="s">
        <v>356</v>
      </c>
      <c r="F301" s="26" t="s">
        <v>356</v>
      </c>
      <c r="G301" s="26" t="s">
        <v>356</v>
      </c>
      <c r="H301" s="10" t="str">
        <f aca="false">IF(AND(EXACT(D301,E301),EXACT(E301,F301),EXACT(F301,G301)),"Same","DIFF")</f>
        <v>DIFF</v>
      </c>
    </row>
    <row r="302" customFormat="false" ht="15" hidden="false" customHeight="false" outlineLevel="0" collapsed="false">
      <c r="A302" s="26" t="s">
        <v>438</v>
      </c>
      <c r="B302" s="26" t="s">
        <v>405</v>
      </c>
      <c r="C302" s="26"/>
      <c r="D302" s="26" t="s">
        <v>104</v>
      </c>
      <c r="E302" s="26" t="s">
        <v>356</v>
      </c>
      <c r="F302" s="26" t="s">
        <v>356</v>
      </c>
      <c r="G302" s="26" t="s">
        <v>356</v>
      </c>
      <c r="H302" s="10" t="str">
        <f aca="false">IF(AND(EXACT(D302,E302),EXACT(E302,F302),EXACT(F302,G302)),"Same","DIFF")</f>
        <v>DIFF</v>
      </c>
    </row>
    <row r="303" customFormat="false" ht="15" hidden="false" customHeight="false" outlineLevel="0" collapsed="false">
      <c r="A303" s="26" t="s">
        <v>438</v>
      </c>
      <c r="B303" s="26" t="s">
        <v>406</v>
      </c>
      <c r="C303" s="26"/>
      <c r="D303" s="26" t="s">
        <v>104</v>
      </c>
      <c r="E303" s="26" t="s">
        <v>356</v>
      </c>
      <c r="F303" s="26" t="s">
        <v>356</v>
      </c>
      <c r="G303" s="26" t="s">
        <v>356</v>
      </c>
      <c r="H303" s="10" t="str">
        <f aca="false">IF(AND(EXACT(D303,E303),EXACT(E303,F303),EXACT(F303,G303)),"Same","DIFF")</f>
        <v>DIFF</v>
      </c>
    </row>
    <row r="304" customFormat="false" ht="15" hidden="false" customHeight="false" outlineLevel="0" collapsed="false">
      <c r="A304" s="26" t="s">
        <v>438</v>
      </c>
      <c r="B304" s="26" t="s">
        <v>407</v>
      </c>
      <c r="C304" s="26"/>
      <c r="D304" s="26" t="s">
        <v>104</v>
      </c>
      <c r="E304" s="26" t="s">
        <v>356</v>
      </c>
      <c r="F304" s="26" t="s">
        <v>356</v>
      </c>
      <c r="G304" s="26" t="s">
        <v>356</v>
      </c>
      <c r="H304" s="10" t="str">
        <f aca="false">IF(AND(EXACT(D304,E304),EXACT(E304,F304),EXACT(F304,G304)),"Same","DIFF")</f>
        <v>DIFF</v>
      </c>
    </row>
    <row r="305" customFormat="false" ht="15" hidden="false" customHeight="false" outlineLevel="0" collapsed="false">
      <c r="A305" s="26" t="s">
        <v>438</v>
      </c>
      <c r="B305" s="26" t="s">
        <v>410</v>
      </c>
      <c r="C305" s="26"/>
      <c r="D305" s="26" t="s">
        <v>104</v>
      </c>
      <c r="E305" s="26" t="s">
        <v>356</v>
      </c>
      <c r="F305" s="26" t="s">
        <v>356</v>
      </c>
      <c r="G305" s="26" t="s">
        <v>356</v>
      </c>
      <c r="H305" s="10" t="str">
        <f aca="false">IF(AND(EXACT(D305,E305),EXACT(E305,F305),EXACT(F305,G305)),"Same","DIFF")</f>
        <v>DIFF</v>
      </c>
    </row>
    <row r="306" customFormat="false" ht="15" hidden="false" customHeight="false" outlineLevel="0" collapsed="false">
      <c r="A306" s="26" t="s">
        <v>438</v>
      </c>
      <c r="B306" s="26" t="s">
        <v>411</v>
      </c>
      <c r="C306" s="26"/>
      <c r="D306" s="26" t="s">
        <v>104</v>
      </c>
      <c r="E306" s="26" t="s">
        <v>356</v>
      </c>
      <c r="F306" s="26" t="s">
        <v>356</v>
      </c>
      <c r="G306" s="26" t="s">
        <v>356</v>
      </c>
      <c r="H306" s="10" t="str">
        <f aca="false">IF(AND(EXACT(D306,E306),EXACT(E306,F306),EXACT(F306,G306)),"Same","DIFF")</f>
        <v>DIFF</v>
      </c>
    </row>
    <row r="307" customFormat="false" ht="15" hidden="false" customHeight="false" outlineLevel="0" collapsed="false">
      <c r="A307" s="26" t="s">
        <v>438</v>
      </c>
      <c r="B307" s="26" t="s">
        <v>412</v>
      </c>
      <c r="C307" s="26"/>
      <c r="D307" s="26" t="s">
        <v>104</v>
      </c>
      <c r="E307" s="26" t="s">
        <v>356</v>
      </c>
      <c r="F307" s="26" t="s">
        <v>356</v>
      </c>
      <c r="G307" s="26" t="s">
        <v>356</v>
      </c>
      <c r="H307" s="10" t="str">
        <f aca="false">IF(AND(EXACT(D307,E307),EXACT(E307,F307),EXACT(F307,G307)),"Same","DIFF")</f>
        <v>DIFF</v>
      </c>
    </row>
    <row r="308" customFormat="false" ht="15" hidden="false" customHeight="false" outlineLevel="0" collapsed="false">
      <c r="A308" s="26" t="s">
        <v>438</v>
      </c>
      <c r="B308" s="26" t="s">
        <v>414</v>
      </c>
      <c r="C308" s="26"/>
      <c r="D308" s="26" t="s">
        <v>104</v>
      </c>
      <c r="E308" s="26" t="s">
        <v>356</v>
      </c>
      <c r="F308" s="26" t="s">
        <v>356</v>
      </c>
      <c r="G308" s="26" t="s">
        <v>356</v>
      </c>
      <c r="H308" s="10" t="str">
        <f aca="false">IF(AND(EXACT(D308,E308),EXACT(E308,F308),EXACT(F308,G308)),"Same","DIFF")</f>
        <v>DIFF</v>
      </c>
    </row>
    <row r="309" customFormat="false" ht="15" hidden="false" customHeight="false" outlineLevel="0" collapsed="false">
      <c r="A309" s="26" t="s">
        <v>438</v>
      </c>
      <c r="B309" s="26" t="s">
        <v>415</v>
      </c>
      <c r="C309" s="26"/>
      <c r="D309" s="26" t="s">
        <v>104</v>
      </c>
      <c r="E309" s="26" t="s">
        <v>356</v>
      </c>
      <c r="F309" s="26" t="s">
        <v>356</v>
      </c>
      <c r="G309" s="26" t="s">
        <v>356</v>
      </c>
      <c r="H309" s="10" t="str">
        <f aca="false">IF(AND(EXACT(D309,E309),EXACT(E309,F309),EXACT(F309,G309)),"Same","DIFF")</f>
        <v>DIFF</v>
      </c>
    </row>
    <row r="310" customFormat="false" ht="15" hidden="false" customHeight="false" outlineLevel="0" collapsed="false">
      <c r="A310" s="26" t="s">
        <v>438</v>
      </c>
      <c r="B310" s="26" t="s">
        <v>389</v>
      </c>
      <c r="C310" s="26"/>
      <c r="D310" s="26" t="s">
        <v>356</v>
      </c>
      <c r="E310" s="26" t="s">
        <v>104</v>
      </c>
      <c r="F310" s="26" t="s">
        <v>320</v>
      </c>
      <c r="G310" s="26" t="s">
        <v>320</v>
      </c>
      <c r="H310" s="10" t="str">
        <f aca="false">IF(AND(EXACT(D310,E310),EXACT(E310,F310),EXACT(F310,G310)),"Same","DIFF")</f>
        <v>DIFF</v>
      </c>
    </row>
    <row r="311" customFormat="false" ht="15" hidden="false" customHeight="false" outlineLevel="0" collapsed="false">
      <c r="A311" s="26" t="s">
        <v>438</v>
      </c>
      <c r="B311" s="26" t="s">
        <v>431</v>
      </c>
      <c r="C311" s="26"/>
      <c r="D311" s="26" t="s">
        <v>356</v>
      </c>
      <c r="E311" s="26" t="s">
        <v>356</v>
      </c>
      <c r="F311" s="26" t="s">
        <v>104</v>
      </c>
      <c r="G311" s="26" t="s">
        <v>104</v>
      </c>
      <c r="H311" s="10" t="str">
        <f aca="false">IF(AND(EXACT(D311,E311),EXACT(E311,F311),EXACT(F311,G311)),"Same","DIFF")</f>
        <v>DIFF</v>
      </c>
    </row>
    <row r="312" customFormat="false" ht="15" hidden="false" customHeight="false" outlineLevel="0" collapsed="false">
      <c r="A312" s="26" t="s">
        <v>438</v>
      </c>
      <c r="B312" s="26" t="s">
        <v>338</v>
      </c>
      <c r="C312" s="26"/>
      <c r="D312" s="26" t="s">
        <v>320</v>
      </c>
      <c r="E312" s="26" t="s">
        <v>320</v>
      </c>
      <c r="F312" s="26" t="s">
        <v>320</v>
      </c>
      <c r="G312" s="26" t="s">
        <v>320</v>
      </c>
      <c r="H312" s="10" t="str">
        <f aca="false">IF(AND(EXACT(D312,E312),EXACT(E312,F312),EXACT(F312,G312)),"Same","DIFF")</f>
        <v>Same</v>
      </c>
    </row>
    <row r="313" customFormat="false" ht="15" hidden="false" customHeight="false" outlineLevel="0" collapsed="false">
      <c r="A313" s="26" t="s">
        <v>438</v>
      </c>
      <c r="B313" s="26" t="s">
        <v>440</v>
      </c>
      <c r="C313" s="26"/>
      <c r="D313" s="26" t="s">
        <v>356</v>
      </c>
      <c r="E313" s="26" t="s">
        <v>356</v>
      </c>
      <c r="F313" s="26" t="s">
        <v>104</v>
      </c>
      <c r="G313" s="26" t="s">
        <v>104</v>
      </c>
      <c r="H313" s="10" t="str">
        <f aca="false">IF(AND(EXACT(D313,E313),EXACT(E313,F313),EXACT(F313,G313)),"Same","DIFF")</f>
        <v>DIFF</v>
      </c>
    </row>
    <row r="314" customFormat="false" ht="15" hidden="false" customHeight="false" outlineLevel="0" collapsed="false">
      <c r="A314" s="26" t="s">
        <v>438</v>
      </c>
      <c r="B314" s="26" t="s">
        <v>441</v>
      </c>
      <c r="C314" s="26"/>
      <c r="D314" s="26" t="s">
        <v>356</v>
      </c>
      <c r="E314" s="26" t="s">
        <v>356</v>
      </c>
      <c r="F314" s="26" t="s">
        <v>104</v>
      </c>
      <c r="G314" s="26" t="s">
        <v>104</v>
      </c>
      <c r="H314" s="10" t="str">
        <f aca="false">IF(AND(EXACT(D314,E314),EXACT(E314,F314),EXACT(F314,G314)),"Same","DIFF")</f>
        <v>DIFF</v>
      </c>
    </row>
    <row r="315" customFormat="false" ht="15" hidden="false" customHeight="false" outlineLevel="0" collapsed="false">
      <c r="A315" s="26" t="s">
        <v>438</v>
      </c>
      <c r="B315" s="26" t="s">
        <v>442</v>
      </c>
      <c r="C315" s="26"/>
      <c r="D315" s="26" t="s">
        <v>356</v>
      </c>
      <c r="E315" s="26" t="s">
        <v>356</v>
      </c>
      <c r="F315" s="26" t="s">
        <v>104</v>
      </c>
      <c r="G315" s="26" t="s">
        <v>104</v>
      </c>
      <c r="H315" s="10" t="str">
        <f aca="false">IF(AND(EXACT(D315,E315),EXACT(E315,F315),EXACT(F315,G315)),"Same","DIFF")</f>
        <v>DIFF</v>
      </c>
    </row>
    <row r="316" customFormat="false" ht="15" hidden="false" customHeight="false" outlineLevel="0" collapsed="false">
      <c r="A316" s="26" t="s">
        <v>438</v>
      </c>
      <c r="B316" s="26" t="s">
        <v>432</v>
      </c>
      <c r="C316" s="26"/>
      <c r="D316" s="26" t="s">
        <v>356</v>
      </c>
      <c r="E316" s="26" t="s">
        <v>356</v>
      </c>
      <c r="F316" s="26" t="s">
        <v>104</v>
      </c>
      <c r="G316" s="26" t="s">
        <v>104</v>
      </c>
      <c r="H316" s="10" t="str">
        <f aca="false">IF(AND(EXACT(D316,E316),EXACT(E316,F316),EXACT(F316,G316)),"Same","DIFF")</f>
        <v>DIFF</v>
      </c>
    </row>
    <row r="317" customFormat="false" ht="15" hidden="false" customHeight="false" outlineLevel="0" collapsed="false">
      <c r="A317" s="26" t="s">
        <v>438</v>
      </c>
      <c r="B317" s="26" t="s">
        <v>433</v>
      </c>
      <c r="C317" s="26"/>
      <c r="D317" s="26" t="s">
        <v>356</v>
      </c>
      <c r="E317" s="26" t="s">
        <v>356</v>
      </c>
      <c r="F317" s="26" t="s">
        <v>104</v>
      </c>
      <c r="G317" s="26" t="s">
        <v>104</v>
      </c>
      <c r="H317" s="10" t="str">
        <f aca="false">IF(AND(EXACT(D317,E317),EXACT(E317,F317),EXACT(F317,G317)),"Same","DIFF")</f>
        <v>DIFF</v>
      </c>
    </row>
    <row r="318" customFormat="false" ht="15" hidden="false" customHeight="false" outlineLevel="0" collapsed="false">
      <c r="A318" s="26" t="s">
        <v>438</v>
      </c>
      <c r="B318" s="26" t="s">
        <v>443</v>
      </c>
      <c r="C318" s="26"/>
      <c r="D318" s="26" t="s">
        <v>356</v>
      </c>
      <c r="E318" s="26" t="s">
        <v>356</v>
      </c>
      <c r="F318" s="26" t="s">
        <v>104</v>
      </c>
      <c r="G318" s="26" t="s">
        <v>104</v>
      </c>
      <c r="H318" s="10" t="str">
        <f aca="false">IF(AND(EXACT(D318,E318),EXACT(E318,F318),EXACT(F318,G318)),"Same","DIFF")</f>
        <v>DIFF</v>
      </c>
    </row>
    <row r="319" customFormat="false" ht="15" hidden="false" customHeight="false" outlineLevel="0" collapsed="false">
      <c r="A319" s="26" t="s">
        <v>438</v>
      </c>
      <c r="B319" s="26" t="s">
        <v>444</v>
      </c>
      <c r="C319" s="26"/>
      <c r="D319" s="26" t="s">
        <v>356</v>
      </c>
      <c r="E319" s="26" t="s">
        <v>356</v>
      </c>
      <c r="F319" s="26" t="s">
        <v>104</v>
      </c>
      <c r="G319" s="26" t="s">
        <v>104</v>
      </c>
      <c r="H319" s="10" t="str">
        <f aca="false">IF(AND(EXACT(D319,E319),EXACT(E319,F319),EXACT(F319,G319)),"Same","DIFF")</f>
        <v>DIFF</v>
      </c>
    </row>
    <row r="320" customFormat="false" ht="15" hidden="false" customHeight="false" outlineLevel="0" collapsed="false">
      <c r="A320" s="26" t="s">
        <v>438</v>
      </c>
      <c r="B320" s="26" t="s">
        <v>445</v>
      </c>
      <c r="C320" s="26"/>
      <c r="D320" s="26" t="s">
        <v>356</v>
      </c>
      <c r="E320" s="26" t="s">
        <v>356</v>
      </c>
      <c r="F320" s="26" t="s">
        <v>104</v>
      </c>
      <c r="G320" s="26" t="s">
        <v>104</v>
      </c>
      <c r="H320" s="10" t="str">
        <f aca="false">IF(AND(EXACT(D320,E320),EXACT(E320,F320),EXACT(F320,G320)),"Same","DIFF")</f>
        <v>DIFF</v>
      </c>
    </row>
    <row r="321" customFormat="false" ht="15" hidden="false" customHeight="false" outlineLevel="0" collapsed="false">
      <c r="A321" s="26" t="s">
        <v>438</v>
      </c>
      <c r="B321" s="26" t="s">
        <v>446</v>
      </c>
      <c r="C321" s="26"/>
      <c r="D321" s="26" t="s">
        <v>356</v>
      </c>
      <c r="E321" s="26" t="s">
        <v>356</v>
      </c>
      <c r="F321" s="26" t="s">
        <v>104</v>
      </c>
      <c r="G321" s="26" t="s">
        <v>104</v>
      </c>
      <c r="H321" s="10" t="str">
        <f aca="false">IF(AND(EXACT(D321,E321),EXACT(E321,F321),EXACT(F321,G321)),"Same","DIFF")</f>
        <v>DIFF</v>
      </c>
    </row>
    <row r="322" customFormat="false" ht="15" hidden="false" customHeight="false" outlineLevel="0" collapsed="false">
      <c r="A322" s="26" t="s">
        <v>438</v>
      </c>
      <c r="B322" s="26" t="s">
        <v>447</v>
      </c>
      <c r="C322" s="26"/>
      <c r="D322" s="26" t="s">
        <v>356</v>
      </c>
      <c r="E322" s="26" t="s">
        <v>356</v>
      </c>
      <c r="F322" s="26" t="s">
        <v>104</v>
      </c>
      <c r="G322" s="26" t="s">
        <v>104</v>
      </c>
      <c r="H322" s="10" t="str">
        <f aca="false">IF(AND(EXACT(D322,E322),EXACT(E322,F322),EXACT(F322,G322)),"Same","DIFF")</f>
        <v>DIFF</v>
      </c>
    </row>
    <row r="323" customFormat="false" ht="15" hidden="false" customHeight="false" outlineLevel="0" collapsed="false">
      <c r="A323" s="26" t="s">
        <v>438</v>
      </c>
      <c r="B323" s="26" t="s">
        <v>448</v>
      </c>
      <c r="C323" s="26"/>
      <c r="D323" s="26" t="s">
        <v>356</v>
      </c>
      <c r="E323" s="26" t="s">
        <v>356</v>
      </c>
      <c r="F323" s="26" t="s">
        <v>104</v>
      </c>
      <c r="G323" s="26" t="s">
        <v>104</v>
      </c>
      <c r="H323" s="10" t="str">
        <f aca="false">IF(AND(EXACT(D323,E323),EXACT(E323,F323),EXACT(F323,G323)),"Same","DIFF")</f>
        <v>DIFF</v>
      </c>
    </row>
    <row r="324" customFormat="false" ht="15" hidden="false" customHeight="false" outlineLevel="0" collapsed="false">
      <c r="A324" s="26" t="s">
        <v>438</v>
      </c>
      <c r="B324" s="26" t="s">
        <v>449</v>
      </c>
      <c r="C324" s="26"/>
      <c r="D324" s="26" t="s">
        <v>356</v>
      </c>
      <c r="E324" s="26" t="s">
        <v>356</v>
      </c>
      <c r="F324" s="26" t="s">
        <v>104</v>
      </c>
      <c r="G324" s="26" t="s">
        <v>104</v>
      </c>
      <c r="H324" s="10" t="str">
        <f aca="false">IF(AND(EXACT(D324,E324),EXACT(E324,F324),EXACT(F324,G324)),"Same","DIFF")</f>
        <v>DIFF</v>
      </c>
    </row>
    <row r="325" customFormat="false" ht="15" hidden="false" customHeight="false" outlineLevel="0" collapsed="false">
      <c r="A325" s="26" t="s">
        <v>438</v>
      </c>
      <c r="B325" s="26" t="s">
        <v>434</v>
      </c>
      <c r="C325" s="26"/>
      <c r="D325" s="26" t="s">
        <v>104</v>
      </c>
      <c r="E325" s="26" t="s">
        <v>320</v>
      </c>
      <c r="F325" s="26" t="s">
        <v>104</v>
      </c>
      <c r="G325" s="26" t="s">
        <v>104</v>
      </c>
      <c r="H325" s="10" t="str">
        <f aca="false">IF(AND(EXACT(D325,E325),EXACT(E325,F325),EXACT(F325,G325)),"Same","DIFF")</f>
        <v>DIFF</v>
      </c>
    </row>
    <row r="326" customFormat="false" ht="15" hidden="false" customHeight="false" outlineLevel="0" collapsed="false">
      <c r="A326" s="26" t="s">
        <v>438</v>
      </c>
      <c r="B326" s="26" t="s">
        <v>450</v>
      </c>
      <c r="C326" s="26"/>
      <c r="D326" s="26" t="s">
        <v>356</v>
      </c>
      <c r="E326" s="26" t="s">
        <v>356</v>
      </c>
      <c r="F326" s="26" t="s">
        <v>104</v>
      </c>
      <c r="G326" s="26" t="s">
        <v>104</v>
      </c>
      <c r="H326" s="10" t="str">
        <f aca="false">IF(AND(EXACT(D326,E326),EXACT(E326,F326),EXACT(F326,G326)),"Same","DIFF")</f>
        <v>DIFF</v>
      </c>
    </row>
    <row r="327" customFormat="false" ht="15" hidden="false" customHeight="false" outlineLevel="0" collapsed="false">
      <c r="A327" s="26" t="s">
        <v>438</v>
      </c>
      <c r="B327" s="26" t="s">
        <v>451</v>
      </c>
      <c r="C327" s="26"/>
      <c r="D327" s="26" t="s">
        <v>356</v>
      </c>
      <c r="E327" s="26" t="s">
        <v>356</v>
      </c>
      <c r="F327" s="26" t="s">
        <v>104</v>
      </c>
      <c r="G327" s="26" t="s">
        <v>104</v>
      </c>
      <c r="H327" s="10" t="str">
        <f aca="false">IF(AND(EXACT(D327,E327),EXACT(E327,F327),EXACT(F327,G327)),"Same","DIFF")</f>
        <v>DIFF</v>
      </c>
    </row>
    <row r="328" customFormat="false" ht="15" hidden="false" customHeight="false" outlineLevel="0" collapsed="false">
      <c r="A328" s="26" t="s">
        <v>438</v>
      </c>
      <c r="B328" s="26" t="s">
        <v>452</v>
      </c>
      <c r="C328" s="26"/>
      <c r="D328" s="26" t="s">
        <v>356</v>
      </c>
      <c r="E328" s="26" t="s">
        <v>356</v>
      </c>
      <c r="F328" s="26" t="s">
        <v>104</v>
      </c>
      <c r="G328" s="26" t="s">
        <v>104</v>
      </c>
      <c r="H328" s="10" t="str">
        <f aca="false">IF(AND(EXACT(D328,E328),EXACT(E328,F328),EXACT(F328,G328)),"Same","DIFF")</f>
        <v>DIFF</v>
      </c>
    </row>
    <row r="329" customFormat="false" ht="15" hidden="false" customHeight="false" outlineLevel="0" collapsed="false">
      <c r="A329" s="26" t="s">
        <v>438</v>
      </c>
      <c r="B329" s="26" t="s">
        <v>453</v>
      </c>
      <c r="C329" s="26"/>
      <c r="D329" s="26" t="s">
        <v>356</v>
      </c>
      <c r="E329" s="26" t="s">
        <v>356</v>
      </c>
      <c r="F329" s="26" t="s">
        <v>104</v>
      </c>
      <c r="G329" s="26" t="s">
        <v>104</v>
      </c>
      <c r="H329" s="10" t="str">
        <f aca="false">IF(AND(EXACT(D329,E329),EXACT(E329,F329),EXACT(F329,G329)),"Same","DIFF")</f>
        <v>DIFF</v>
      </c>
    </row>
    <row r="330" customFormat="false" ht="15" hidden="false" customHeight="false" outlineLevel="0" collapsed="false">
      <c r="A330" s="26" t="s">
        <v>438</v>
      </c>
      <c r="B330" s="26" t="s">
        <v>454</v>
      </c>
      <c r="C330" s="26"/>
      <c r="D330" s="26" t="s">
        <v>356</v>
      </c>
      <c r="E330" s="26" t="s">
        <v>356</v>
      </c>
      <c r="F330" s="26" t="s">
        <v>104</v>
      </c>
      <c r="G330" s="26" t="s">
        <v>104</v>
      </c>
      <c r="H330" s="10" t="str">
        <f aca="false">IF(AND(EXACT(D330,E330),EXACT(E330,F330),EXACT(F330,G330)),"Same","DIFF")</f>
        <v>DIFF</v>
      </c>
    </row>
    <row r="331" customFormat="false" ht="15" hidden="false" customHeight="false" outlineLevel="0" collapsed="false">
      <c r="A331" s="26" t="s">
        <v>438</v>
      </c>
      <c r="B331" s="26" t="s">
        <v>455</v>
      </c>
      <c r="C331" s="26"/>
      <c r="D331" s="26" t="s">
        <v>356</v>
      </c>
      <c r="E331" s="26" t="s">
        <v>356</v>
      </c>
      <c r="F331" s="26" t="s">
        <v>104</v>
      </c>
      <c r="G331" s="26" t="s">
        <v>104</v>
      </c>
      <c r="H331" s="10" t="str">
        <f aca="false">IF(AND(EXACT(D331,E331),EXACT(E331,F331),EXACT(F331,G331)),"Same","DIFF")</f>
        <v>DIFF</v>
      </c>
    </row>
    <row r="332" customFormat="false" ht="15" hidden="false" customHeight="false" outlineLevel="0" collapsed="false">
      <c r="A332" s="26" t="s">
        <v>438</v>
      </c>
      <c r="B332" s="26" t="s">
        <v>456</v>
      </c>
      <c r="C332" s="26"/>
      <c r="D332" s="26" t="s">
        <v>356</v>
      </c>
      <c r="E332" s="26" t="s">
        <v>356</v>
      </c>
      <c r="F332" s="26" t="s">
        <v>104</v>
      </c>
      <c r="G332" s="26" t="s">
        <v>104</v>
      </c>
      <c r="H332" s="10" t="str">
        <f aca="false">IF(AND(EXACT(D332,E332),EXACT(E332,F332),EXACT(F332,G332)),"Same","DIFF")</f>
        <v>DIFF</v>
      </c>
    </row>
    <row r="333" customFormat="false" ht="15" hidden="false" customHeight="false" outlineLevel="0" collapsed="false">
      <c r="A333" s="26" t="s">
        <v>438</v>
      </c>
      <c r="B333" s="26" t="s">
        <v>457</v>
      </c>
      <c r="C333" s="26"/>
      <c r="D333" s="26" t="s">
        <v>356</v>
      </c>
      <c r="E333" s="26" t="s">
        <v>356</v>
      </c>
      <c r="F333" s="26" t="s">
        <v>104</v>
      </c>
      <c r="G333" s="26" t="s">
        <v>104</v>
      </c>
      <c r="H333" s="10" t="str">
        <f aca="false">IF(AND(EXACT(D333,E333),EXACT(E333,F333),EXACT(F333,G333)),"Same","DIFF")</f>
        <v>DIFF</v>
      </c>
    </row>
    <row r="334" customFormat="false" ht="15" hidden="false" customHeight="false" outlineLevel="0" collapsed="false">
      <c r="A334" s="26" t="s">
        <v>438</v>
      </c>
      <c r="B334" s="26" t="s">
        <v>458</v>
      </c>
      <c r="C334" s="26"/>
      <c r="D334" s="26" t="s">
        <v>356</v>
      </c>
      <c r="E334" s="26" t="s">
        <v>356</v>
      </c>
      <c r="F334" s="26" t="s">
        <v>104</v>
      </c>
      <c r="G334" s="26" t="s">
        <v>104</v>
      </c>
      <c r="H334" s="10" t="str">
        <f aca="false">IF(AND(EXACT(D334,E334),EXACT(E334,F334),EXACT(F334,G334)),"Same","DIFF")</f>
        <v>DIFF</v>
      </c>
    </row>
    <row r="335" customFormat="false" ht="15" hidden="false" customHeight="false" outlineLevel="0" collapsed="false">
      <c r="A335" s="26" t="s">
        <v>438</v>
      </c>
      <c r="B335" s="26" t="s">
        <v>459</v>
      </c>
      <c r="C335" s="26"/>
      <c r="D335" s="26" t="s">
        <v>356</v>
      </c>
      <c r="E335" s="26" t="s">
        <v>356</v>
      </c>
      <c r="F335" s="26" t="s">
        <v>104</v>
      </c>
      <c r="G335" s="26" t="s">
        <v>104</v>
      </c>
      <c r="H335" s="10" t="str">
        <f aca="false">IF(AND(EXACT(D335,E335),EXACT(E335,F335),EXACT(F335,G335)),"Same","DIFF")</f>
        <v>DIFF</v>
      </c>
    </row>
    <row r="336" customFormat="false" ht="15" hidden="false" customHeight="false" outlineLevel="0" collapsed="false">
      <c r="A336" s="26" t="s">
        <v>438</v>
      </c>
      <c r="B336" s="26" t="s">
        <v>460</v>
      </c>
      <c r="C336" s="26"/>
      <c r="D336" s="26" t="s">
        <v>356</v>
      </c>
      <c r="E336" s="26" t="s">
        <v>356</v>
      </c>
      <c r="F336" s="26" t="s">
        <v>104</v>
      </c>
      <c r="G336" s="26" t="s">
        <v>104</v>
      </c>
      <c r="H336" s="10" t="str">
        <f aca="false">IF(AND(EXACT(D336,E336),EXACT(E336,F336),EXACT(F336,G336)),"Same","DIFF")</f>
        <v>DIFF</v>
      </c>
    </row>
    <row r="337" customFormat="false" ht="15" hidden="false" customHeight="false" outlineLevel="0" collapsed="false">
      <c r="A337" s="26" t="s">
        <v>438</v>
      </c>
      <c r="B337" s="26" t="s">
        <v>461</v>
      </c>
      <c r="C337" s="26"/>
      <c r="D337" s="26" t="s">
        <v>356</v>
      </c>
      <c r="E337" s="26" t="s">
        <v>356</v>
      </c>
      <c r="F337" s="26" t="s">
        <v>104</v>
      </c>
      <c r="G337" s="26" t="s">
        <v>104</v>
      </c>
      <c r="H337" s="10" t="str">
        <f aca="false">IF(AND(EXACT(D337,E337),EXACT(E337,F337),EXACT(F337,G337)),"Same","DIFF")</f>
        <v>DIFF</v>
      </c>
    </row>
    <row r="338" customFormat="false" ht="15" hidden="false" customHeight="false" outlineLevel="0" collapsed="false">
      <c r="A338" s="26" t="s">
        <v>438</v>
      </c>
      <c r="B338" s="26" t="s">
        <v>462</v>
      </c>
      <c r="C338" s="26"/>
      <c r="D338" s="26" t="s">
        <v>356</v>
      </c>
      <c r="E338" s="26" t="s">
        <v>356</v>
      </c>
      <c r="F338" s="26" t="s">
        <v>104</v>
      </c>
      <c r="G338" s="26" t="s">
        <v>104</v>
      </c>
      <c r="H338" s="10" t="str">
        <f aca="false">IF(AND(EXACT(D338,E338),EXACT(E338,F338),EXACT(F338,G338)),"Same","DIFF")</f>
        <v>DIFF</v>
      </c>
    </row>
    <row r="339" customFormat="false" ht="15" hidden="false" customHeight="false" outlineLevel="0" collapsed="false">
      <c r="A339" s="26" t="s">
        <v>438</v>
      </c>
      <c r="B339" s="26" t="s">
        <v>463</v>
      </c>
      <c r="C339" s="26"/>
      <c r="D339" s="26" t="s">
        <v>356</v>
      </c>
      <c r="E339" s="26" t="s">
        <v>356</v>
      </c>
      <c r="F339" s="26" t="s">
        <v>104</v>
      </c>
      <c r="G339" s="26" t="s">
        <v>104</v>
      </c>
      <c r="H339" s="10" t="str">
        <f aca="false">IF(AND(EXACT(D339,E339),EXACT(E339,F339),EXACT(F339,G339)),"Same","DIFF")</f>
        <v>DIFF</v>
      </c>
    </row>
    <row r="340" customFormat="false" ht="15" hidden="false" customHeight="false" outlineLevel="0" collapsed="false">
      <c r="A340" s="26" t="s">
        <v>438</v>
      </c>
      <c r="B340" s="26" t="s">
        <v>464</v>
      </c>
      <c r="C340" s="26"/>
      <c r="D340" s="26" t="s">
        <v>356</v>
      </c>
      <c r="E340" s="26" t="s">
        <v>356</v>
      </c>
      <c r="F340" s="26" t="s">
        <v>104</v>
      </c>
      <c r="G340" s="26" t="s">
        <v>104</v>
      </c>
      <c r="H340" s="10" t="str">
        <f aca="false">IF(AND(EXACT(D340,E340),EXACT(E340,F340),EXACT(F340,G340)),"Same","DIFF")</f>
        <v>DIFF</v>
      </c>
    </row>
    <row r="341" customFormat="false" ht="15" hidden="false" customHeight="false" outlineLevel="0" collapsed="false">
      <c r="A341" s="26" t="s">
        <v>438</v>
      </c>
      <c r="B341" s="26" t="s">
        <v>465</v>
      </c>
      <c r="C341" s="26"/>
      <c r="D341" s="26" t="s">
        <v>356</v>
      </c>
      <c r="E341" s="26" t="s">
        <v>356</v>
      </c>
      <c r="F341" s="26" t="s">
        <v>104</v>
      </c>
      <c r="G341" s="26" t="s">
        <v>104</v>
      </c>
      <c r="H341" s="10" t="str">
        <f aca="false">IF(AND(EXACT(D341,E341),EXACT(E341,F341),EXACT(F341,G341)),"Same","DIFF")</f>
        <v>DIFF</v>
      </c>
    </row>
    <row r="342" customFormat="false" ht="15" hidden="false" customHeight="false" outlineLevel="0" collapsed="false">
      <c r="A342" s="26" t="s">
        <v>438</v>
      </c>
      <c r="B342" s="26" t="s">
        <v>466</v>
      </c>
      <c r="C342" s="26"/>
      <c r="D342" s="26" t="s">
        <v>356</v>
      </c>
      <c r="E342" s="26" t="s">
        <v>356</v>
      </c>
      <c r="F342" s="26" t="s">
        <v>104</v>
      </c>
      <c r="G342" s="26" t="s">
        <v>104</v>
      </c>
      <c r="H342" s="10" t="str">
        <f aca="false">IF(AND(EXACT(D342,E342),EXACT(E342,F342),EXACT(F342,G342)),"Same","DIFF")</f>
        <v>DIFF</v>
      </c>
    </row>
    <row r="343" customFormat="false" ht="15" hidden="false" customHeight="false" outlineLevel="0" collapsed="false">
      <c r="A343" s="26" t="s">
        <v>438</v>
      </c>
      <c r="B343" s="26" t="s">
        <v>467</v>
      </c>
      <c r="C343" s="26"/>
      <c r="D343" s="26" t="s">
        <v>356</v>
      </c>
      <c r="E343" s="26" t="s">
        <v>356</v>
      </c>
      <c r="F343" s="26" t="s">
        <v>104</v>
      </c>
      <c r="G343" s="26" t="s">
        <v>104</v>
      </c>
      <c r="H343" s="10" t="str">
        <f aca="false">IF(AND(EXACT(D343,E343),EXACT(E343,F343),EXACT(F343,G343)),"Same","DIFF")</f>
        <v>DIFF</v>
      </c>
    </row>
    <row r="344" customFormat="false" ht="15" hidden="false" customHeight="false" outlineLevel="0" collapsed="false">
      <c r="A344" s="26" t="s">
        <v>438</v>
      </c>
      <c r="B344" s="26" t="s">
        <v>468</v>
      </c>
      <c r="C344" s="26"/>
      <c r="D344" s="26" t="s">
        <v>356</v>
      </c>
      <c r="E344" s="26" t="s">
        <v>356</v>
      </c>
      <c r="F344" s="26" t="s">
        <v>104</v>
      </c>
      <c r="G344" s="26" t="s">
        <v>104</v>
      </c>
      <c r="H344" s="10" t="str">
        <f aca="false">IF(AND(EXACT(D344,E344),EXACT(E344,F344),EXACT(F344,G344)),"Same","DIFF")</f>
        <v>DIFF</v>
      </c>
    </row>
    <row r="345" customFormat="false" ht="15" hidden="false" customHeight="false" outlineLevel="0" collapsed="false">
      <c r="A345" s="26" t="s">
        <v>438</v>
      </c>
      <c r="B345" s="26" t="s">
        <v>469</v>
      </c>
      <c r="C345" s="26"/>
      <c r="D345" s="26" t="s">
        <v>356</v>
      </c>
      <c r="E345" s="26" t="s">
        <v>356</v>
      </c>
      <c r="F345" s="26" t="s">
        <v>104</v>
      </c>
      <c r="G345" s="26" t="s">
        <v>104</v>
      </c>
      <c r="H345" s="10" t="str">
        <f aca="false">IF(AND(EXACT(D345,E345),EXACT(E345,F345),EXACT(F345,G345)),"Same","DIFF")</f>
        <v>DIFF</v>
      </c>
    </row>
    <row r="346" customFormat="false" ht="15" hidden="false" customHeight="false" outlineLevel="0" collapsed="false">
      <c r="A346" s="26" t="s">
        <v>438</v>
      </c>
      <c r="B346" s="26" t="s">
        <v>470</v>
      </c>
      <c r="C346" s="26"/>
      <c r="D346" s="26" t="s">
        <v>356</v>
      </c>
      <c r="E346" s="26" t="s">
        <v>356</v>
      </c>
      <c r="F346" s="26" t="s">
        <v>104</v>
      </c>
      <c r="G346" s="26" t="s">
        <v>104</v>
      </c>
      <c r="H346" s="10" t="str">
        <f aca="false">IF(AND(EXACT(D346,E346),EXACT(E346,F346),EXACT(F346,G346)),"Same","DIFF")</f>
        <v>DIFF</v>
      </c>
    </row>
    <row r="347" customFormat="false" ht="15" hidden="false" customHeight="false" outlineLevel="0" collapsed="false">
      <c r="A347" s="26" t="s">
        <v>438</v>
      </c>
      <c r="B347" s="26" t="s">
        <v>471</v>
      </c>
      <c r="C347" s="26"/>
      <c r="D347" s="26" t="s">
        <v>356</v>
      </c>
      <c r="E347" s="26" t="s">
        <v>356</v>
      </c>
      <c r="F347" s="26" t="s">
        <v>104</v>
      </c>
      <c r="G347" s="26" t="s">
        <v>104</v>
      </c>
      <c r="H347" s="10" t="str">
        <f aca="false">IF(AND(EXACT(D347,E347),EXACT(E347,F347),EXACT(F347,G347)),"Same","DIFF")</f>
        <v>DIFF</v>
      </c>
    </row>
    <row r="348" customFormat="false" ht="15" hidden="false" customHeight="false" outlineLevel="0" collapsed="false">
      <c r="A348" s="26" t="s">
        <v>438</v>
      </c>
      <c r="B348" s="26" t="s">
        <v>472</v>
      </c>
      <c r="C348" s="26"/>
      <c r="D348" s="26" t="s">
        <v>356</v>
      </c>
      <c r="E348" s="26" t="s">
        <v>356</v>
      </c>
      <c r="F348" s="26" t="s">
        <v>104</v>
      </c>
      <c r="G348" s="26" t="s">
        <v>104</v>
      </c>
      <c r="H348" s="10" t="str">
        <f aca="false">IF(AND(EXACT(D348,E348),EXACT(E348,F348),EXACT(F348,G348)),"Same","DIFF")</f>
        <v>DIFF</v>
      </c>
    </row>
    <row r="349" customFormat="false" ht="15" hidden="false" customHeight="false" outlineLevel="0" collapsed="false">
      <c r="A349" s="26" t="s">
        <v>438</v>
      </c>
      <c r="B349" s="26" t="s">
        <v>473</v>
      </c>
      <c r="C349" s="26"/>
      <c r="D349" s="26" t="s">
        <v>356</v>
      </c>
      <c r="E349" s="26" t="s">
        <v>356</v>
      </c>
      <c r="F349" s="26" t="s">
        <v>104</v>
      </c>
      <c r="G349" s="26" t="s">
        <v>104</v>
      </c>
      <c r="H349" s="10" t="str">
        <f aca="false">IF(AND(EXACT(D349,E349),EXACT(E349,F349),EXACT(F349,G349)),"Same","DIFF")</f>
        <v>DIFF</v>
      </c>
    </row>
    <row r="350" customFormat="false" ht="15" hidden="false" customHeight="false" outlineLevel="0" collapsed="false">
      <c r="A350" s="26" t="s">
        <v>438</v>
      </c>
      <c r="B350" s="26" t="s">
        <v>474</v>
      </c>
      <c r="C350" s="26"/>
      <c r="D350" s="26" t="s">
        <v>356</v>
      </c>
      <c r="E350" s="26" t="s">
        <v>356</v>
      </c>
      <c r="F350" s="26" t="s">
        <v>104</v>
      </c>
      <c r="G350" s="26" t="s">
        <v>104</v>
      </c>
      <c r="H350" s="10" t="str">
        <f aca="false">IF(AND(EXACT(D350,E350),EXACT(E350,F350),EXACT(F350,G350)),"Same","DIFF")</f>
        <v>DIFF</v>
      </c>
    </row>
    <row r="351" customFormat="false" ht="15" hidden="false" customHeight="false" outlineLevel="0" collapsed="false">
      <c r="A351" s="26" t="s">
        <v>438</v>
      </c>
      <c r="B351" s="26" t="s">
        <v>475</v>
      </c>
      <c r="C351" s="26"/>
      <c r="D351" s="26" t="s">
        <v>356</v>
      </c>
      <c r="E351" s="26" t="s">
        <v>356</v>
      </c>
      <c r="F351" s="26" t="s">
        <v>104</v>
      </c>
      <c r="G351" s="26" t="s">
        <v>104</v>
      </c>
      <c r="H351" s="10" t="str">
        <f aca="false">IF(AND(EXACT(D351,E351),EXACT(E351,F351),EXACT(F351,G351)),"Same","DIFF")</f>
        <v>DIFF</v>
      </c>
    </row>
    <row r="352" customFormat="false" ht="15" hidden="false" customHeight="false" outlineLevel="0" collapsed="false">
      <c r="A352" s="26" t="s">
        <v>438</v>
      </c>
      <c r="B352" s="26" t="s">
        <v>476</v>
      </c>
      <c r="C352" s="26"/>
      <c r="D352" s="26" t="s">
        <v>356</v>
      </c>
      <c r="E352" s="26" t="s">
        <v>356</v>
      </c>
      <c r="F352" s="26" t="s">
        <v>104</v>
      </c>
      <c r="G352" s="26" t="s">
        <v>104</v>
      </c>
      <c r="H352" s="10" t="str">
        <f aca="false">IF(AND(EXACT(D352,E352),EXACT(E352,F352),EXACT(F352,G352)),"Same","DIFF")</f>
        <v>DIFF</v>
      </c>
    </row>
    <row r="353" customFormat="false" ht="15" hidden="false" customHeight="false" outlineLevel="0" collapsed="false">
      <c r="A353" s="26" t="s">
        <v>438</v>
      </c>
      <c r="B353" s="26" t="s">
        <v>477</v>
      </c>
      <c r="C353" s="26"/>
      <c r="D353" s="26" t="s">
        <v>356</v>
      </c>
      <c r="E353" s="26" t="s">
        <v>356</v>
      </c>
      <c r="F353" s="26" t="s">
        <v>104</v>
      </c>
      <c r="G353" s="26" t="s">
        <v>104</v>
      </c>
      <c r="H353" s="10" t="str">
        <f aca="false">IF(AND(EXACT(D353,E353),EXACT(E353,F353),EXACT(F353,G353)),"Same","DIFF")</f>
        <v>DIFF</v>
      </c>
    </row>
    <row r="354" customFormat="false" ht="15" hidden="false" customHeight="false" outlineLevel="0" collapsed="false">
      <c r="A354" s="26" t="s">
        <v>438</v>
      </c>
      <c r="B354" s="26" t="s">
        <v>416</v>
      </c>
      <c r="C354" s="26"/>
      <c r="D354" s="26" t="s">
        <v>356</v>
      </c>
      <c r="E354" s="26" t="s">
        <v>356</v>
      </c>
      <c r="F354" s="26" t="s">
        <v>104</v>
      </c>
      <c r="G354" s="26" t="s">
        <v>104</v>
      </c>
      <c r="H354" s="10" t="str">
        <f aca="false">IF(AND(EXACT(D354,E354),EXACT(E354,F354),EXACT(F354,G354)),"Same","DIFF")</f>
        <v>DIFF</v>
      </c>
    </row>
    <row r="355" customFormat="false" ht="15" hidden="false" customHeight="false" outlineLevel="0" collapsed="false">
      <c r="A355" s="26" t="s">
        <v>438</v>
      </c>
      <c r="B355" s="26" t="s">
        <v>478</v>
      </c>
      <c r="C355" s="26"/>
      <c r="D355" s="26" t="s">
        <v>356</v>
      </c>
      <c r="E355" s="26" t="s">
        <v>356</v>
      </c>
      <c r="F355" s="26" t="s">
        <v>104</v>
      </c>
      <c r="G355" s="26" t="s">
        <v>104</v>
      </c>
      <c r="H355" s="10" t="str">
        <f aca="false">IF(AND(EXACT(D355,E355),EXACT(E355,F355),EXACT(F355,G355)),"Same","DIFF")</f>
        <v>DIFF</v>
      </c>
    </row>
    <row r="356" customFormat="false" ht="15" hidden="false" customHeight="false" outlineLevel="0" collapsed="false">
      <c r="A356" s="26" t="s">
        <v>438</v>
      </c>
      <c r="B356" s="26" t="s">
        <v>479</v>
      </c>
      <c r="C356" s="26"/>
      <c r="D356" s="26" t="s">
        <v>356</v>
      </c>
      <c r="E356" s="26" t="s">
        <v>356</v>
      </c>
      <c r="F356" s="26" t="s">
        <v>104</v>
      </c>
      <c r="G356" s="26" t="s">
        <v>104</v>
      </c>
      <c r="H356" s="10" t="str">
        <f aca="false">IF(AND(EXACT(D356,E356),EXACT(E356,F356),EXACT(F356,G356)),"Same","DIFF")</f>
        <v>DIFF</v>
      </c>
    </row>
    <row r="357" customFormat="false" ht="15" hidden="false" customHeight="false" outlineLevel="0" collapsed="false">
      <c r="A357" s="26" t="s">
        <v>438</v>
      </c>
      <c r="B357" s="26" t="s">
        <v>480</v>
      </c>
      <c r="C357" s="26"/>
      <c r="D357" s="26" t="s">
        <v>356</v>
      </c>
      <c r="E357" s="26" t="s">
        <v>356</v>
      </c>
      <c r="F357" s="26" t="s">
        <v>104</v>
      </c>
      <c r="G357" s="26" t="s">
        <v>104</v>
      </c>
      <c r="H357" s="10" t="str">
        <f aca="false">IF(AND(EXACT(D357,E357),EXACT(E357,F357),EXACT(F357,G357)),"Same","DIFF")</f>
        <v>DIFF</v>
      </c>
    </row>
    <row r="358" customFormat="false" ht="15" hidden="false" customHeight="false" outlineLevel="0" collapsed="false">
      <c r="A358" s="26" t="s">
        <v>438</v>
      </c>
      <c r="B358" s="26" t="s">
        <v>481</v>
      </c>
      <c r="C358" s="26"/>
      <c r="D358" s="26" t="s">
        <v>356</v>
      </c>
      <c r="E358" s="26" t="s">
        <v>356</v>
      </c>
      <c r="F358" s="26" t="s">
        <v>104</v>
      </c>
      <c r="G358" s="26" t="s">
        <v>104</v>
      </c>
      <c r="H358" s="10" t="str">
        <f aca="false">IF(AND(EXACT(D358,E358),EXACT(E358,F358),EXACT(F358,G358)),"Same","DIFF")</f>
        <v>DIFF</v>
      </c>
    </row>
    <row r="359" customFormat="false" ht="15" hidden="false" customHeight="false" outlineLevel="0" collapsed="false">
      <c r="A359" s="26" t="s">
        <v>438</v>
      </c>
      <c r="B359" s="26" t="s">
        <v>482</v>
      </c>
      <c r="C359" s="26"/>
      <c r="D359" s="26" t="s">
        <v>356</v>
      </c>
      <c r="E359" s="26" t="s">
        <v>356</v>
      </c>
      <c r="F359" s="26" t="s">
        <v>104</v>
      </c>
      <c r="G359" s="26" t="s">
        <v>104</v>
      </c>
      <c r="H359" s="10" t="str">
        <f aca="false">IF(AND(EXACT(D359,E359),EXACT(E359,F359),EXACT(F359,G359)),"Same","DIFF")</f>
        <v>DIFF</v>
      </c>
    </row>
    <row r="360" customFormat="false" ht="15" hidden="false" customHeight="false" outlineLevel="0" collapsed="false">
      <c r="A360" s="26" t="s">
        <v>438</v>
      </c>
      <c r="B360" s="26" t="s">
        <v>483</v>
      </c>
      <c r="C360" s="26"/>
      <c r="D360" s="26" t="s">
        <v>104</v>
      </c>
      <c r="E360" s="26" t="s">
        <v>320</v>
      </c>
      <c r="F360" s="26" t="s">
        <v>104</v>
      </c>
      <c r="G360" s="26" t="s">
        <v>104</v>
      </c>
      <c r="H360" s="10" t="str">
        <f aca="false">IF(AND(EXACT(D360,E360),EXACT(E360,F360),EXACT(F360,G360)),"Same","DIFF")</f>
        <v>DIFF</v>
      </c>
    </row>
    <row r="361" customFormat="false" ht="15" hidden="false" customHeight="false" outlineLevel="0" collapsed="false">
      <c r="A361" s="26" t="s">
        <v>438</v>
      </c>
      <c r="B361" s="26" t="s">
        <v>484</v>
      </c>
      <c r="C361" s="26"/>
      <c r="D361" s="26" t="s">
        <v>356</v>
      </c>
      <c r="E361" s="26" t="s">
        <v>356</v>
      </c>
      <c r="F361" s="26" t="s">
        <v>104</v>
      </c>
      <c r="G361" s="26" t="s">
        <v>104</v>
      </c>
      <c r="H361" s="10" t="str">
        <f aca="false">IF(AND(EXACT(D361,E361),EXACT(E361,F361),EXACT(F361,G361)),"Same","DIFF")</f>
        <v>DIFF</v>
      </c>
    </row>
    <row r="362" customFormat="false" ht="15" hidden="false" customHeight="false" outlineLevel="0" collapsed="false">
      <c r="A362" s="26" t="s">
        <v>438</v>
      </c>
      <c r="B362" s="26" t="s">
        <v>485</v>
      </c>
      <c r="C362" s="26"/>
      <c r="D362" s="26" t="s">
        <v>356</v>
      </c>
      <c r="E362" s="26" t="s">
        <v>356</v>
      </c>
      <c r="F362" s="26" t="s">
        <v>104</v>
      </c>
      <c r="G362" s="26" t="s">
        <v>104</v>
      </c>
      <c r="H362" s="10" t="str">
        <f aca="false">IF(AND(EXACT(D362,E362),EXACT(E362,F362),EXACT(F362,G362)),"Same","DIFF")</f>
        <v>DIFF</v>
      </c>
    </row>
    <row r="363" customFormat="false" ht="15" hidden="false" customHeight="false" outlineLevel="0" collapsed="false">
      <c r="A363" s="26" t="s">
        <v>438</v>
      </c>
      <c r="B363" s="26" t="s">
        <v>486</v>
      </c>
      <c r="C363" s="26"/>
      <c r="D363" s="26" t="s">
        <v>356</v>
      </c>
      <c r="E363" s="26" t="s">
        <v>356</v>
      </c>
      <c r="F363" s="26" t="s">
        <v>104</v>
      </c>
      <c r="G363" s="26" t="s">
        <v>104</v>
      </c>
      <c r="H363" s="10" t="str">
        <f aca="false">IF(AND(EXACT(D363,E363),EXACT(E363,F363),EXACT(F363,G363)),"Same","DIFF")</f>
        <v>DIFF</v>
      </c>
    </row>
    <row r="364" customFormat="false" ht="15" hidden="false" customHeight="false" outlineLevel="0" collapsed="false">
      <c r="A364" s="26" t="s">
        <v>438</v>
      </c>
      <c r="B364" s="26" t="s">
        <v>487</v>
      </c>
      <c r="C364" s="26"/>
      <c r="D364" s="26" t="s">
        <v>356</v>
      </c>
      <c r="E364" s="26" t="s">
        <v>356</v>
      </c>
      <c r="F364" s="26" t="s">
        <v>104</v>
      </c>
      <c r="G364" s="26" t="s">
        <v>104</v>
      </c>
      <c r="H364" s="10" t="str">
        <f aca="false">IF(AND(EXACT(D364,E364),EXACT(E364,F364),EXACT(F364,G364)),"Same","DIFF")</f>
        <v>DIFF</v>
      </c>
    </row>
    <row r="365" customFormat="false" ht="15" hidden="false" customHeight="false" outlineLevel="0" collapsed="false">
      <c r="A365" s="26" t="s">
        <v>438</v>
      </c>
      <c r="B365" s="26" t="s">
        <v>488</v>
      </c>
      <c r="C365" s="26"/>
      <c r="D365" s="26" t="s">
        <v>356</v>
      </c>
      <c r="E365" s="26" t="s">
        <v>356</v>
      </c>
      <c r="F365" s="26" t="s">
        <v>104</v>
      </c>
      <c r="G365" s="26" t="s">
        <v>104</v>
      </c>
      <c r="H365" s="10" t="str">
        <f aca="false">IF(AND(EXACT(D365,E365),EXACT(E365,F365),EXACT(F365,G365)),"Same","DIFF")</f>
        <v>DIFF</v>
      </c>
    </row>
    <row r="366" customFormat="false" ht="15" hidden="false" customHeight="false" outlineLevel="0" collapsed="false">
      <c r="A366" s="26" t="s">
        <v>438</v>
      </c>
      <c r="B366" s="26" t="s">
        <v>489</v>
      </c>
      <c r="C366" s="26"/>
      <c r="D366" s="26" t="s">
        <v>356</v>
      </c>
      <c r="E366" s="26" t="s">
        <v>356</v>
      </c>
      <c r="F366" s="26" t="s">
        <v>104</v>
      </c>
      <c r="G366" s="26" t="s">
        <v>104</v>
      </c>
      <c r="H366" s="10" t="str">
        <f aca="false">IF(AND(EXACT(D366,E366),EXACT(E366,F366),EXACT(F366,G366)),"Same","DIFF")</f>
        <v>DIFF</v>
      </c>
    </row>
    <row r="367" customFormat="false" ht="15" hidden="false" customHeight="false" outlineLevel="0" collapsed="false">
      <c r="A367" s="26" t="s">
        <v>438</v>
      </c>
      <c r="B367" s="26" t="s">
        <v>490</v>
      </c>
      <c r="C367" s="26"/>
      <c r="D367" s="26" t="s">
        <v>356</v>
      </c>
      <c r="E367" s="26" t="s">
        <v>356</v>
      </c>
      <c r="F367" s="26" t="s">
        <v>104</v>
      </c>
      <c r="G367" s="26" t="s">
        <v>104</v>
      </c>
      <c r="H367" s="10" t="str">
        <f aca="false">IF(AND(EXACT(D367,E367),EXACT(E367,F367),EXACT(F367,G367)),"Same","DIFF")</f>
        <v>DIFF</v>
      </c>
    </row>
    <row r="368" customFormat="false" ht="15" hidden="false" customHeight="false" outlineLevel="0" collapsed="false">
      <c r="A368" s="26" t="s">
        <v>438</v>
      </c>
      <c r="B368" s="26" t="s">
        <v>491</v>
      </c>
      <c r="C368" s="26"/>
      <c r="D368" s="26" t="s">
        <v>356</v>
      </c>
      <c r="E368" s="26" t="s">
        <v>356</v>
      </c>
      <c r="F368" s="26" t="s">
        <v>104</v>
      </c>
      <c r="G368" s="26" t="s">
        <v>104</v>
      </c>
      <c r="H368" s="10" t="str">
        <f aca="false">IF(AND(EXACT(D368,E368),EXACT(E368,F368),EXACT(F368,G368)),"Same","DIFF")</f>
        <v>DIFF</v>
      </c>
    </row>
    <row r="369" customFormat="false" ht="15" hidden="false" customHeight="false" outlineLevel="0" collapsed="false">
      <c r="A369" s="26" t="s">
        <v>438</v>
      </c>
      <c r="B369" s="26" t="s">
        <v>492</v>
      </c>
      <c r="C369" s="26"/>
      <c r="D369" s="26" t="s">
        <v>356</v>
      </c>
      <c r="E369" s="26" t="s">
        <v>356</v>
      </c>
      <c r="F369" s="26" t="s">
        <v>104</v>
      </c>
      <c r="G369" s="26" t="s">
        <v>104</v>
      </c>
      <c r="H369" s="10" t="str">
        <f aca="false">IF(AND(EXACT(D369,E369),EXACT(E369,F369),EXACT(F369,G369)),"Same","DIFF")</f>
        <v>DIFF</v>
      </c>
    </row>
    <row r="370" customFormat="false" ht="15" hidden="false" customHeight="false" outlineLevel="0" collapsed="false">
      <c r="A370" s="26" t="s">
        <v>438</v>
      </c>
      <c r="B370" s="26" t="s">
        <v>358</v>
      </c>
      <c r="C370" s="26"/>
      <c r="D370" s="26" t="s">
        <v>320</v>
      </c>
      <c r="E370" s="26" t="s">
        <v>320</v>
      </c>
      <c r="F370" s="26" t="s">
        <v>356</v>
      </c>
      <c r="G370" s="26" t="s">
        <v>356</v>
      </c>
      <c r="H370" s="10" t="str">
        <f aca="false">IF(AND(EXACT(D370,E370),EXACT(E370,F370),EXACT(F370,G370)),"Same","DIFF")</f>
        <v>DIFF</v>
      </c>
    </row>
    <row r="371" customFormat="false" ht="15" hidden="false" customHeight="false" outlineLevel="0" collapsed="false">
      <c r="A371" s="26" t="s">
        <v>438</v>
      </c>
      <c r="B371" s="26" t="s">
        <v>425</v>
      </c>
      <c r="C371" s="26"/>
      <c r="D371" s="26" t="s">
        <v>356</v>
      </c>
      <c r="E371" s="26" t="s">
        <v>356</v>
      </c>
      <c r="F371" s="26" t="s">
        <v>356</v>
      </c>
      <c r="G371" s="26" t="s">
        <v>356</v>
      </c>
      <c r="H371" s="10" t="str">
        <f aca="false">IF(AND(EXACT(D371,E371),EXACT(E371,F371),EXACT(F371,G371)),"Same","DIFF")</f>
        <v>Same</v>
      </c>
    </row>
    <row r="372" customFormat="false" ht="15" hidden="false" customHeight="false" outlineLevel="0" collapsed="false">
      <c r="A372" s="26" t="s">
        <v>438</v>
      </c>
      <c r="B372" s="26" t="s">
        <v>382</v>
      </c>
      <c r="C372" s="26"/>
      <c r="D372" s="26" t="s">
        <v>320</v>
      </c>
      <c r="E372" s="26" t="s">
        <v>104</v>
      </c>
      <c r="F372" s="26" t="s">
        <v>320</v>
      </c>
      <c r="G372" s="26" t="s">
        <v>320</v>
      </c>
      <c r="H372" s="10" t="str">
        <f aca="false">IF(AND(EXACT(D372,E372),EXACT(E372,F372),EXACT(F372,G372)),"Same","DIFF")</f>
        <v>DIFF</v>
      </c>
    </row>
    <row r="373" customFormat="false" ht="15" hidden="false" customHeight="false" outlineLevel="0" collapsed="false">
      <c r="A373" s="26" t="s">
        <v>438</v>
      </c>
      <c r="B373" s="26" t="s">
        <v>344</v>
      </c>
      <c r="C373" s="26"/>
      <c r="D373" s="26" t="s">
        <v>320</v>
      </c>
      <c r="E373" s="26" t="s">
        <v>320</v>
      </c>
      <c r="F373" s="26" t="s">
        <v>320</v>
      </c>
      <c r="G373" s="26" t="s">
        <v>320</v>
      </c>
      <c r="H373" s="10" t="str">
        <f aca="false">IF(AND(EXACT(D373,E373),EXACT(E373,F373),EXACT(F373,G373)),"Same","DIFF")</f>
        <v>Same</v>
      </c>
    </row>
    <row r="374" customFormat="false" ht="15" hidden="false" customHeight="false" outlineLevel="0" collapsed="false">
      <c r="A374" s="26" t="s">
        <v>438</v>
      </c>
      <c r="B374" s="26" t="s">
        <v>364</v>
      </c>
      <c r="C374" s="26"/>
      <c r="D374" s="26" t="s">
        <v>356</v>
      </c>
      <c r="E374" s="26" t="s">
        <v>356</v>
      </c>
      <c r="F374" s="26" t="s">
        <v>356</v>
      </c>
      <c r="G374" s="26" t="s">
        <v>356</v>
      </c>
      <c r="H374" s="10" t="str">
        <f aca="false">IF(AND(EXACT(D374,E374),EXACT(E374,F374),EXACT(F374,G374)),"Same","DIFF")</f>
        <v>Same</v>
      </c>
    </row>
    <row r="375" customFormat="false" ht="15" hidden="false" customHeight="false" outlineLevel="0" collapsed="false">
      <c r="A375" s="26" t="s">
        <v>438</v>
      </c>
      <c r="B375" s="26" t="s">
        <v>346</v>
      </c>
      <c r="C375" s="26"/>
      <c r="D375" s="26" t="s">
        <v>320</v>
      </c>
      <c r="E375" s="26" t="s">
        <v>104</v>
      </c>
      <c r="F375" s="26" t="s">
        <v>356</v>
      </c>
      <c r="G375" s="26" t="s">
        <v>320</v>
      </c>
      <c r="H375" s="10" t="str">
        <f aca="false">IF(AND(EXACT(D375,E375),EXACT(E375,F375),EXACT(F375,G375)),"Same","DIFF")</f>
        <v>DIFF</v>
      </c>
    </row>
    <row r="376" customFormat="false" ht="15" hidden="false" customHeight="false" outlineLevel="0" collapsed="false">
      <c r="A376" s="26" t="s">
        <v>438</v>
      </c>
      <c r="B376" s="26" t="s">
        <v>347</v>
      </c>
      <c r="C376" s="26"/>
      <c r="D376" s="26" t="s">
        <v>320</v>
      </c>
      <c r="E376" s="26" t="s">
        <v>104</v>
      </c>
      <c r="F376" s="26" t="s">
        <v>104</v>
      </c>
      <c r="G376" s="26" t="s">
        <v>320</v>
      </c>
      <c r="H376" s="10" t="str">
        <f aca="false">IF(AND(EXACT(D376,E376),EXACT(E376,F376),EXACT(F376,G376)),"Same","DIFF")</f>
        <v>DIFF</v>
      </c>
    </row>
    <row r="377" customFormat="false" ht="15" hidden="false" customHeight="false" outlineLevel="0" collapsed="false">
      <c r="A377" s="26" t="s">
        <v>438</v>
      </c>
      <c r="B377" s="26" t="s">
        <v>426</v>
      </c>
      <c r="C377" s="26"/>
      <c r="D377" s="26" t="s">
        <v>356</v>
      </c>
      <c r="E377" s="26" t="s">
        <v>356</v>
      </c>
      <c r="F377" s="26" t="s">
        <v>356</v>
      </c>
      <c r="G377" s="26" t="s">
        <v>356</v>
      </c>
      <c r="H377" s="10" t="str">
        <f aca="false">IF(AND(EXACT(D377,E377),EXACT(E377,F377),EXACT(F377,G377)),"Same","DIFF")</f>
        <v>Same</v>
      </c>
    </row>
    <row r="378" customFormat="false" ht="15" hidden="false" customHeight="false" outlineLevel="0" collapsed="false">
      <c r="A378" s="26" t="s">
        <v>438</v>
      </c>
      <c r="B378" s="26" t="s">
        <v>348</v>
      </c>
      <c r="C378" s="26"/>
      <c r="D378" s="26" t="s">
        <v>320</v>
      </c>
      <c r="E378" s="26" t="s">
        <v>320</v>
      </c>
      <c r="F378" s="26" t="s">
        <v>320</v>
      </c>
      <c r="G378" s="26" t="s">
        <v>320</v>
      </c>
      <c r="H378" s="10" t="str">
        <f aca="false">IF(AND(EXACT(D378,E378),EXACT(E378,F378),EXACT(F378,G378)),"Same","DIFF")</f>
        <v>Same</v>
      </c>
    </row>
    <row r="379" customFormat="false" ht="15" hidden="false" customHeight="false" outlineLevel="0" collapsed="false">
      <c r="A379" s="26" t="s">
        <v>438</v>
      </c>
      <c r="B379" s="26" t="s">
        <v>349</v>
      </c>
      <c r="C379" s="26"/>
      <c r="D379" s="26" t="s">
        <v>320</v>
      </c>
      <c r="E379" s="26" t="s">
        <v>320</v>
      </c>
      <c r="F379" s="26" t="s">
        <v>356</v>
      </c>
      <c r="G379" s="26" t="s">
        <v>320</v>
      </c>
      <c r="H379" s="10" t="str">
        <f aca="false">IF(AND(EXACT(D379,E379),EXACT(E379,F379),EXACT(F379,G379)),"Same","DIFF")</f>
        <v>DIFF</v>
      </c>
    </row>
    <row r="380" customFormat="false" ht="15" hidden="false" customHeight="false" outlineLevel="0" collapsed="false">
      <c r="A380" s="26" t="s">
        <v>493</v>
      </c>
      <c r="B380" s="26" t="s">
        <v>395</v>
      </c>
      <c r="C380" s="26"/>
      <c r="D380" s="26" t="s">
        <v>104</v>
      </c>
      <c r="E380" s="26" t="s">
        <v>356</v>
      </c>
      <c r="F380" s="26" t="s">
        <v>104</v>
      </c>
      <c r="G380" s="26" t="s">
        <v>104</v>
      </c>
      <c r="H380" s="10" t="str">
        <f aca="false">IF(AND(EXACT(D380,E380),EXACT(E380,F380),EXACT(F380,G380)),"Same","DIFF")</f>
        <v>DIFF</v>
      </c>
    </row>
    <row r="381" customFormat="false" ht="15" hidden="false" customHeight="false" outlineLevel="0" collapsed="false">
      <c r="A381" s="26" t="s">
        <v>493</v>
      </c>
      <c r="B381" s="26" t="s">
        <v>396</v>
      </c>
      <c r="C381" s="26"/>
      <c r="D381" s="26" t="s">
        <v>104</v>
      </c>
      <c r="E381" s="26" t="s">
        <v>356</v>
      </c>
      <c r="F381" s="26" t="s">
        <v>104</v>
      </c>
      <c r="G381" s="26" t="s">
        <v>104</v>
      </c>
      <c r="H381" s="10" t="str">
        <f aca="false">IF(AND(EXACT(D381,E381),EXACT(E381,F381),EXACT(F381,G381)),"Same","DIFF")</f>
        <v>DIFF</v>
      </c>
    </row>
    <row r="382" customFormat="false" ht="15" hidden="false" customHeight="false" outlineLevel="0" collapsed="false">
      <c r="A382" s="26" t="s">
        <v>493</v>
      </c>
      <c r="B382" s="26" t="s">
        <v>355</v>
      </c>
      <c r="C382" s="26"/>
      <c r="D382" s="26" t="s">
        <v>356</v>
      </c>
      <c r="E382" s="26" t="s">
        <v>356</v>
      </c>
      <c r="F382" s="26" t="s">
        <v>356</v>
      </c>
      <c r="G382" s="26" t="s">
        <v>356</v>
      </c>
      <c r="H382" s="10" t="str">
        <f aca="false">IF(AND(EXACT(D382,E382),EXACT(E382,F382),EXACT(F382,G382)),"Same","DIFF")</f>
        <v>Same</v>
      </c>
    </row>
    <row r="383" customFormat="false" ht="15" hidden="false" customHeight="false" outlineLevel="0" collapsed="false">
      <c r="A383" s="26" t="s">
        <v>493</v>
      </c>
      <c r="B383" s="26" t="s">
        <v>323</v>
      </c>
      <c r="C383" s="26"/>
      <c r="D383" s="26" t="s">
        <v>320</v>
      </c>
      <c r="E383" s="26" t="s">
        <v>320</v>
      </c>
      <c r="F383" s="26" t="s">
        <v>356</v>
      </c>
      <c r="G383" s="26" t="s">
        <v>356</v>
      </c>
      <c r="H383" s="10" t="str">
        <f aca="false">IF(AND(EXACT(D383,E383),EXACT(E383,F383),EXACT(F383,G383)),"Same","DIFF")</f>
        <v>DIFF</v>
      </c>
    </row>
    <row r="384" customFormat="false" ht="15" hidden="false" customHeight="false" outlineLevel="0" collapsed="false">
      <c r="A384" s="26" t="s">
        <v>493</v>
      </c>
      <c r="B384" s="26" t="s">
        <v>373</v>
      </c>
      <c r="C384" s="26"/>
      <c r="D384" s="26" t="s">
        <v>356</v>
      </c>
      <c r="E384" s="26" t="s">
        <v>356</v>
      </c>
      <c r="F384" s="26" t="s">
        <v>356</v>
      </c>
      <c r="G384" s="26" t="s">
        <v>356</v>
      </c>
      <c r="H384" s="10" t="str">
        <f aca="false">IF(AND(EXACT(D384,E384),EXACT(E384,F384),EXACT(F384,G384)),"Same","DIFF")</f>
        <v>Same</v>
      </c>
    </row>
    <row r="385" customFormat="false" ht="15" hidden="false" customHeight="false" outlineLevel="0" collapsed="false">
      <c r="A385" s="26" t="s">
        <v>493</v>
      </c>
      <c r="B385" s="26" t="s">
        <v>326</v>
      </c>
      <c r="C385" s="26"/>
      <c r="D385" s="26" t="s">
        <v>320</v>
      </c>
      <c r="E385" s="26" t="s">
        <v>320</v>
      </c>
      <c r="F385" s="26" t="s">
        <v>320</v>
      </c>
      <c r="G385" s="26" t="s">
        <v>320</v>
      </c>
      <c r="H385" s="10" t="str">
        <f aca="false">IF(AND(EXACT(D385,E385),EXACT(E385,F385),EXACT(F385,G385)),"Same","DIFF")</f>
        <v>Same</v>
      </c>
    </row>
    <row r="386" customFormat="false" ht="15" hidden="false" customHeight="false" outlineLevel="0" collapsed="false">
      <c r="A386" s="26" t="s">
        <v>493</v>
      </c>
      <c r="B386" s="26" t="s">
        <v>374</v>
      </c>
      <c r="C386" s="26"/>
      <c r="D386" s="26" t="s">
        <v>320</v>
      </c>
      <c r="E386" s="26" t="s">
        <v>356</v>
      </c>
      <c r="F386" s="26" t="s">
        <v>356</v>
      </c>
      <c r="G386" s="26" t="s">
        <v>356</v>
      </c>
      <c r="H386" s="10" t="str">
        <f aca="false">IF(AND(EXACT(D386,E386),EXACT(E386,F386),EXACT(F386,G386)),"Same","DIFF")</f>
        <v>DIFF</v>
      </c>
    </row>
    <row r="387" customFormat="false" ht="15" hidden="false" customHeight="false" outlineLevel="0" collapsed="false">
      <c r="A387" s="26" t="s">
        <v>493</v>
      </c>
      <c r="B387" s="26" t="s">
        <v>400</v>
      </c>
      <c r="C387" s="26"/>
      <c r="D387" s="26" t="s">
        <v>356</v>
      </c>
      <c r="E387" s="26" t="s">
        <v>356</v>
      </c>
      <c r="F387" s="26" t="s">
        <v>104</v>
      </c>
      <c r="G387" s="26" t="s">
        <v>104</v>
      </c>
      <c r="H387" s="10" t="str">
        <f aca="false">IF(AND(EXACT(D387,E387),EXACT(E387,F387),EXACT(F387,G387)),"Same","DIFF")</f>
        <v>DIFF</v>
      </c>
    </row>
    <row r="388" customFormat="false" ht="15" hidden="false" customHeight="false" outlineLevel="0" collapsed="false">
      <c r="A388" s="26" t="s">
        <v>493</v>
      </c>
      <c r="B388" s="26" t="s">
        <v>328</v>
      </c>
      <c r="C388" s="26"/>
      <c r="D388" s="26" t="s">
        <v>356</v>
      </c>
      <c r="E388" s="26" t="s">
        <v>104</v>
      </c>
      <c r="F388" s="26" t="s">
        <v>104</v>
      </c>
      <c r="G388" s="26" t="s">
        <v>104</v>
      </c>
      <c r="H388" s="10" t="str">
        <f aca="false">IF(AND(EXACT(D388,E388),EXACT(E388,F388),EXACT(F388,G388)),"Same","DIFF")</f>
        <v>DIFF</v>
      </c>
    </row>
    <row r="389" customFormat="false" ht="15" hidden="false" customHeight="false" outlineLevel="0" collapsed="false">
      <c r="A389" s="26" t="s">
        <v>493</v>
      </c>
      <c r="B389" s="26" t="s">
        <v>330</v>
      </c>
      <c r="C389" s="26"/>
      <c r="D389" s="26" t="s">
        <v>356</v>
      </c>
      <c r="E389" s="26" t="s">
        <v>104</v>
      </c>
      <c r="F389" s="26" t="s">
        <v>104</v>
      </c>
      <c r="G389" s="26" t="s">
        <v>104</v>
      </c>
      <c r="H389" s="10" t="str">
        <f aca="false">IF(AND(EXACT(D389,E389),EXACT(E389,F389),EXACT(F389,G389)),"Same","DIFF")</f>
        <v>DIFF</v>
      </c>
    </row>
    <row r="390" customFormat="false" ht="15" hidden="false" customHeight="false" outlineLevel="0" collapsed="false">
      <c r="A390" s="26" t="s">
        <v>493</v>
      </c>
      <c r="B390" s="26" t="s">
        <v>331</v>
      </c>
      <c r="C390" s="26"/>
      <c r="D390" s="26" t="s">
        <v>320</v>
      </c>
      <c r="E390" s="26" t="s">
        <v>320</v>
      </c>
      <c r="F390" s="26" t="s">
        <v>320</v>
      </c>
      <c r="G390" s="26" t="s">
        <v>320</v>
      </c>
      <c r="H390" s="10" t="str">
        <f aca="false">IF(AND(EXACT(D390,E390),EXACT(E390,F390),EXACT(F390,G390)),"Same","DIFF")</f>
        <v>Same</v>
      </c>
    </row>
    <row r="391" customFormat="false" ht="15" hidden="false" customHeight="false" outlineLevel="0" collapsed="false">
      <c r="A391" s="26" t="s">
        <v>493</v>
      </c>
      <c r="B391" s="26" t="s">
        <v>376</v>
      </c>
      <c r="C391" s="26"/>
      <c r="D391" s="26" t="s">
        <v>320</v>
      </c>
      <c r="E391" s="26" t="s">
        <v>104</v>
      </c>
      <c r="F391" s="26" t="s">
        <v>104</v>
      </c>
      <c r="G391" s="26" t="s">
        <v>104</v>
      </c>
      <c r="H391" s="10" t="str">
        <f aca="false">IF(AND(EXACT(D391,E391),EXACT(E391,F391),EXACT(F391,G391)),"Same","DIFF")</f>
        <v>DIFF</v>
      </c>
    </row>
    <row r="392" customFormat="false" ht="15" hidden="false" customHeight="false" outlineLevel="0" collapsed="false">
      <c r="A392" s="26" t="s">
        <v>493</v>
      </c>
      <c r="B392" s="26" t="s">
        <v>377</v>
      </c>
      <c r="C392" s="26"/>
      <c r="D392" s="26" t="s">
        <v>356</v>
      </c>
      <c r="E392" s="26" t="s">
        <v>104</v>
      </c>
      <c r="F392" s="26" t="s">
        <v>104</v>
      </c>
      <c r="G392" s="26" t="s">
        <v>104</v>
      </c>
      <c r="H392" s="10" t="str">
        <f aca="false">IF(AND(EXACT(D392,E392),EXACT(E392,F392),EXACT(F392,G392)),"Same","DIFF")</f>
        <v>DIFF</v>
      </c>
    </row>
    <row r="393" customFormat="false" ht="15" hidden="false" customHeight="false" outlineLevel="0" collapsed="false">
      <c r="A393" s="26" t="s">
        <v>493</v>
      </c>
      <c r="B393" s="26" t="s">
        <v>402</v>
      </c>
      <c r="C393" s="26"/>
      <c r="D393" s="26" t="s">
        <v>356</v>
      </c>
      <c r="E393" s="26" t="s">
        <v>356</v>
      </c>
      <c r="F393" s="26" t="s">
        <v>356</v>
      </c>
      <c r="G393" s="26" t="s">
        <v>356</v>
      </c>
      <c r="H393" s="10" t="str">
        <f aca="false">IF(AND(EXACT(D393,E393),EXACT(E393,F393),EXACT(F393,G393)),"Same","DIFF")</f>
        <v>Same</v>
      </c>
    </row>
    <row r="394" customFormat="false" ht="15" hidden="false" customHeight="false" outlineLevel="0" collapsed="false">
      <c r="A394" s="26" t="s">
        <v>493</v>
      </c>
      <c r="B394" s="26" t="s">
        <v>378</v>
      </c>
      <c r="C394" s="26"/>
      <c r="D394" s="26" t="s">
        <v>356</v>
      </c>
      <c r="E394" s="26" t="s">
        <v>356</v>
      </c>
      <c r="F394" s="26" t="s">
        <v>356</v>
      </c>
      <c r="G394" s="26" t="s">
        <v>356</v>
      </c>
      <c r="H394" s="10" t="str">
        <f aca="false">IF(AND(EXACT(D394,E394),EXACT(E394,F394),EXACT(F394,G394)),"Same","DIFF")</f>
        <v>Same</v>
      </c>
    </row>
    <row r="395" customFormat="false" ht="15" hidden="false" customHeight="false" outlineLevel="0" collapsed="false">
      <c r="A395" s="26" t="s">
        <v>493</v>
      </c>
      <c r="B395" s="26" t="s">
        <v>403</v>
      </c>
      <c r="C395" s="26"/>
      <c r="D395" s="26" t="s">
        <v>356</v>
      </c>
      <c r="E395" s="26" t="s">
        <v>356</v>
      </c>
      <c r="F395" s="26" t="s">
        <v>356</v>
      </c>
      <c r="G395" s="26" t="s">
        <v>356</v>
      </c>
      <c r="H395" s="10" t="str">
        <f aca="false">IF(AND(EXACT(D395,E395),EXACT(E395,F395),EXACT(F395,G395)),"Same","DIFF")</f>
        <v>Same</v>
      </c>
    </row>
    <row r="396" customFormat="false" ht="15" hidden="false" customHeight="false" outlineLevel="0" collapsed="false">
      <c r="A396" s="26" t="s">
        <v>493</v>
      </c>
      <c r="B396" s="26" t="s">
        <v>404</v>
      </c>
      <c r="C396" s="26"/>
      <c r="D396" s="26" t="s">
        <v>356</v>
      </c>
      <c r="E396" s="26" t="s">
        <v>356</v>
      </c>
      <c r="F396" s="26" t="s">
        <v>356</v>
      </c>
      <c r="G396" s="26" t="s">
        <v>356</v>
      </c>
      <c r="H396" s="10" t="str">
        <f aca="false">IF(AND(EXACT(D396,E396),EXACT(E396,F396),EXACT(F396,G396)),"Same","DIFF")</f>
        <v>Same</v>
      </c>
    </row>
    <row r="397" customFormat="false" ht="15" hidden="false" customHeight="false" outlineLevel="0" collapsed="false">
      <c r="A397" s="26" t="s">
        <v>493</v>
      </c>
      <c r="B397" s="26" t="s">
        <v>379</v>
      </c>
      <c r="C397" s="26"/>
      <c r="D397" s="26" t="s">
        <v>356</v>
      </c>
      <c r="E397" s="26" t="s">
        <v>356</v>
      </c>
      <c r="F397" s="26" t="s">
        <v>356</v>
      </c>
      <c r="G397" s="26" t="s">
        <v>356</v>
      </c>
      <c r="H397" s="10" t="str">
        <f aca="false">IF(AND(EXACT(D397,E397),EXACT(E397,F397),EXACT(F397,G397)),"Same","DIFF")</f>
        <v>Same</v>
      </c>
    </row>
    <row r="398" customFormat="false" ht="15" hidden="false" customHeight="false" outlineLevel="0" collapsed="false">
      <c r="A398" s="26" t="s">
        <v>493</v>
      </c>
      <c r="B398" s="26" t="s">
        <v>405</v>
      </c>
      <c r="C398" s="26"/>
      <c r="D398" s="26" t="s">
        <v>356</v>
      </c>
      <c r="E398" s="26" t="s">
        <v>356</v>
      </c>
      <c r="F398" s="26" t="s">
        <v>356</v>
      </c>
      <c r="G398" s="26" t="s">
        <v>356</v>
      </c>
      <c r="H398" s="10" t="str">
        <f aca="false">IF(AND(EXACT(D398,E398),EXACT(E398,F398),EXACT(F398,G398)),"Same","DIFF")</f>
        <v>Same</v>
      </c>
    </row>
    <row r="399" customFormat="false" ht="15" hidden="false" customHeight="false" outlineLevel="0" collapsed="false">
      <c r="A399" s="26" t="s">
        <v>493</v>
      </c>
      <c r="B399" s="26" t="s">
        <v>406</v>
      </c>
      <c r="C399" s="26"/>
      <c r="D399" s="26" t="s">
        <v>356</v>
      </c>
      <c r="E399" s="26" t="s">
        <v>356</v>
      </c>
      <c r="F399" s="26" t="s">
        <v>356</v>
      </c>
      <c r="G399" s="26" t="s">
        <v>356</v>
      </c>
      <c r="H399" s="10" t="str">
        <f aca="false">IF(AND(EXACT(D399,E399),EXACT(E399,F399),EXACT(F399,G399)),"Same","DIFF")</f>
        <v>Same</v>
      </c>
    </row>
    <row r="400" customFormat="false" ht="15" hidden="false" customHeight="false" outlineLevel="0" collapsed="false">
      <c r="A400" s="26" t="s">
        <v>493</v>
      </c>
      <c r="B400" s="26" t="s">
        <v>407</v>
      </c>
      <c r="C400" s="26"/>
      <c r="D400" s="26" t="s">
        <v>356</v>
      </c>
      <c r="E400" s="26" t="s">
        <v>356</v>
      </c>
      <c r="F400" s="26" t="s">
        <v>356</v>
      </c>
      <c r="G400" s="26" t="s">
        <v>356</v>
      </c>
      <c r="H400" s="10" t="str">
        <f aca="false">IF(AND(EXACT(D400,E400),EXACT(E400,F400),EXACT(F400,G400)),"Same","DIFF")</f>
        <v>Same</v>
      </c>
    </row>
    <row r="401" customFormat="false" ht="15" hidden="false" customHeight="false" outlineLevel="0" collapsed="false">
      <c r="A401" s="26" t="s">
        <v>493</v>
      </c>
      <c r="B401" s="26" t="s">
        <v>408</v>
      </c>
      <c r="C401" s="26"/>
      <c r="D401" s="26" t="s">
        <v>356</v>
      </c>
      <c r="E401" s="26" t="s">
        <v>104</v>
      </c>
      <c r="F401" s="26" t="s">
        <v>104</v>
      </c>
      <c r="G401" s="26" t="s">
        <v>104</v>
      </c>
      <c r="H401" s="10" t="str">
        <f aca="false">IF(AND(EXACT(D401,E401),EXACT(E401,F401),EXACT(F401,G401)),"Same","DIFF")</f>
        <v>DIFF</v>
      </c>
    </row>
    <row r="402" customFormat="false" ht="15" hidden="false" customHeight="false" outlineLevel="0" collapsed="false">
      <c r="A402" s="26" t="s">
        <v>493</v>
      </c>
      <c r="B402" s="26" t="s">
        <v>410</v>
      </c>
      <c r="C402" s="26"/>
      <c r="D402" s="26" t="s">
        <v>356</v>
      </c>
      <c r="E402" s="26" t="s">
        <v>356</v>
      </c>
      <c r="F402" s="26" t="s">
        <v>356</v>
      </c>
      <c r="G402" s="26" t="s">
        <v>356</v>
      </c>
      <c r="H402" s="10" t="str">
        <f aca="false">IF(AND(EXACT(D402,E402),EXACT(E402,F402),EXACT(F402,G402)),"Same","DIFF")</f>
        <v>Same</v>
      </c>
    </row>
    <row r="403" customFormat="false" ht="15" hidden="false" customHeight="false" outlineLevel="0" collapsed="false">
      <c r="A403" s="26" t="s">
        <v>493</v>
      </c>
      <c r="B403" s="26" t="s">
        <v>411</v>
      </c>
      <c r="C403" s="26"/>
      <c r="D403" s="26" t="s">
        <v>356</v>
      </c>
      <c r="E403" s="26" t="s">
        <v>356</v>
      </c>
      <c r="F403" s="26" t="s">
        <v>356</v>
      </c>
      <c r="G403" s="26" t="s">
        <v>356</v>
      </c>
      <c r="H403" s="10" t="str">
        <f aca="false">IF(AND(EXACT(D403,E403),EXACT(E403,F403),EXACT(F403,G403)),"Same","DIFF")</f>
        <v>Same</v>
      </c>
    </row>
    <row r="404" customFormat="false" ht="15" hidden="false" customHeight="false" outlineLevel="0" collapsed="false">
      <c r="A404" s="26" t="s">
        <v>493</v>
      </c>
      <c r="B404" s="26" t="s">
        <v>412</v>
      </c>
      <c r="C404" s="26"/>
      <c r="D404" s="26" t="s">
        <v>356</v>
      </c>
      <c r="E404" s="26" t="s">
        <v>356</v>
      </c>
      <c r="F404" s="26" t="s">
        <v>356</v>
      </c>
      <c r="G404" s="26" t="s">
        <v>356</v>
      </c>
      <c r="H404" s="10" t="str">
        <f aca="false">IF(AND(EXACT(D404,E404),EXACT(E404,F404),EXACT(F404,G404)),"Same","DIFF")</f>
        <v>Same</v>
      </c>
    </row>
    <row r="405" customFormat="false" ht="15" hidden="false" customHeight="false" outlineLevel="0" collapsed="false">
      <c r="A405" s="26" t="s">
        <v>493</v>
      </c>
      <c r="B405" s="26" t="s">
        <v>413</v>
      </c>
      <c r="C405" s="26"/>
      <c r="D405" s="26" t="s">
        <v>356</v>
      </c>
      <c r="E405" s="26" t="s">
        <v>356</v>
      </c>
      <c r="F405" s="26" t="s">
        <v>104</v>
      </c>
      <c r="G405" s="26" t="s">
        <v>104</v>
      </c>
      <c r="H405" s="10" t="str">
        <f aca="false">IF(AND(EXACT(D405,E405),EXACT(E405,F405),EXACT(F405,G405)),"Same","DIFF")</f>
        <v>DIFF</v>
      </c>
    </row>
    <row r="406" customFormat="false" ht="15" hidden="false" customHeight="false" outlineLevel="0" collapsed="false">
      <c r="A406" s="26" t="s">
        <v>493</v>
      </c>
      <c r="B406" s="26" t="s">
        <v>414</v>
      </c>
      <c r="C406" s="26"/>
      <c r="D406" s="26" t="s">
        <v>356</v>
      </c>
      <c r="E406" s="26" t="s">
        <v>356</v>
      </c>
      <c r="F406" s="26" t="s">
        <v>104</v>
      </c>
      <c r="G406" s="26" t="s">
        <v>104</v>
      </c>
      <c r="H406" s="10" t="str">
        <f aca="false">IF(AND(EXACT(D406,E406),EXACT(E406,F406),EXACT(F406,G406)),"Same","DIFF")</f>
        <v>DIFF</v>
      </c>
    </row>
    <row r="407" customFormat="false" ht="15" hidden="false" customHeight="false" outlineLevel="0" collapsed="false">
      <c r="A407" s="26" t="s">
        <v>493</v>
      </c>
      <c r="B407" s="26" t="s">
        <v>415</v>
      </c>
      <c r="C407" s="26"/>
      <c r="D407" s="26" t="s">
        <v>356</v>
      </c>
      <c r="E407" s="26" t="s">
        <v>356</v>
      </c>
      <c r="F407" s="26" t="s">
        <v>356</v>
      </c>
      <c r="G407" s="26" t="s">
        <v>356</v>
      </c>
      <c r="H407" s="10" t="str">
        <f aca="false">IF(AND(EXACT(D407,E407),EXACT(E407,F407),EXACT(F407,G407)),"Same","DIFF")</f>
        <v>Same</v>
      </c>
    </row>
    <row r="408" customFormat="false" ht="15" hidden="false" customHeight="false" outlineLevel="0" collapsed="false">
      <c r="A408" s="26" t="s">
        <v>493</v>
      </c>
      <c r="B408" s="26" t="s">
        <v>389</v>
      </c>
      <c r="C408" s="26"/>
      <c r="D408" s="26" t="s">
        <v>356</v>
      </c>
      <c r="E408" s="26" t="s">
        <v>104</v>
      </c>
      <c r="F408" s="26" t="s">
        <v>320</v>
      </c>
      <c r="G408" s="26" t="s">
        <v>320</v>
      </c>
      <c r="H408" s="10" t="str">
        <f aca="false">IF(AND(EXACT(D408,E408),EXACT(E408,F408),EXACT(F408,G408)),"Same","DIFF")</f>
        <v>DIFF</v>
      </c>
    </row>
    <row r="409" customFormat="false" ht="15" hidden="false" customHeight="false" outlineLevel="0" collapsed="false">
      <c r="A409" s="26" t="s">
        <v>493</v>
      </c>
      <c r="B409" s="26" t="s">
        <v>338</v>
      </c>
      <c r="C409" s="26"/>
      <c r="D409" s="26" t="s">
        <v>320</v>
      </c>
      <c r="E409" s="26" t="s">
        <v>320</v>
      </c>
      <c r="F409" s="26" t="s">
        <v>320</v>
      </c>
      <c r="G409" s="26" t="s">
        <v>320</v>
      </c>
      <c r="H409" s="10" t="str">
        <f aca="false">IF(AND(EXACT(D409,E409),EXACT(E409,F409),EXACT(F409,G409)),"Same","DIFF")</f>
        <v>Same</v>
      </c>
    </row>
    <row r="410" customFormat="false" ht="15" hidden="false" customHeight="false" outlineLevel="0" collapsed="false">
      <c r="A410" s="26" t="s">
        <v>493</v>
      </c>
      <c r="B410" s="26" t="s">
        <v>358</v>
      </c>
      <c r="C410" s="26"/>
      <c r="D410" s="26" t="s">
        <v>356</v>
      </c>
      <c r="E410" s="26" t="s">
        <v>356</v>
      </c>
      <c r="F410" s="26" t="s">
        <v>356</v>
      </c>
      <c r="G410" s="26" t="s">
        <v>356</v>
      </c>
      <c r="H410" s="10" t="str">
        <f aca="false">IF(AND(EXACT(D410,E410),EXACT(E410,F410),EXACT(F410,G410)),"Same","DIFF")</f>
        <v>Same</v>
      </c>
    </row>
    <row r="411" customFormat="false" ht="15" hidden="false" customHeight="false" outlineLevel="0" collapsed="false">
      <c r="A411" s="26" t="s">
        <v>493</v>
      </c>
      <c r="B411" s="26" t="s">
        <v>425</v>
      </c>
      <c r="C411" s="26"/>
      <c r="D411" s="26" t="s">
        <v>356</v>
      </c>
      <c r="E411" s="26" t="s">
        <v>356</v>
      </c>
      <c r="F411" s="26" t="s">
        <v>356</v>
      </c>
      <c r="G411" s="26" t="s">
        <v>356</v>
      </c>
      <c r="H411" s="10" t="str">
        <f aca="false">IF(AND(EXACT(D411,E411),EXACT(E411,F411),EXACT(F411,G411)),"Same","DIFF")</f>
        <v>Same</v>
      </c>
    </row>
    <row r="412" customFormat="false" ht="15" hidden="false" customHeight="false" outlineLevel="0" collapsed="false">
      <c r="A412" s="26" t="s">
        <v>493</v>
      </c>
      <c r="B412" s="26" t="s">
        <v>112</v>
      </c>
      <c r="C412" s="26"/>
      <c r="D412" s="26" t="s">
        <v>104</v>
      </c>
      <c r="E412" s="26" t="s">
        <v>104</v>
      </c>
      <c r="F412" s="26" t="s">
        <v>320</v>
      </c>
      <c r="G412" s="26" t="s">
        <v>320</v>
      </c>
      <c r="H412" s="10" t="str">
        <f aca="false">IF(AND(EXACT(D412,E412),EXACT(E412,F412),EXACT(F412,G412)),"Same","DIFF")</f>
        <v>DIFF</v>
      </c>
    </row>
    <row r="413" customFormat="false" ht="15" hidden="false" customHeight="false" outlineLevel="0" collapsed="false">
      <c r="A413" s="26" t="s">
        <v>493</v>
      </c>
      <c r="B413" s="26" t="s">
        <v>382</v>
      </c>
      <c r="C413" s="26"/>
      <c r="D413" s="26" t="s">
        <v>356</v>
      </c>
      <c r="E413" s="26" t="s">
        <v>356</v>
      </c>
      <c r="F413" s="26" t="s">
        <v>356</v>
      </c>
      <c r="G413" s="26" t="s">
        <v>320</v>
      </c>
      <c r="H413" s="10" t="str">
        <f aca="false">IF(AND(EXACT(D413,E413),EXACT(E413,F413),EXACT(F413,G413)),"Same","DIFF")</f>
        <v>DIFF</v>
      </c>
    </row>
    <row r="414" customFormat="false" ht="15" hidden="false" customHeight="false" outlineLevel="0" collapsed="false">
      <c r="A414" s="26" t="s">
        <v>493</v>
      </c>
      <c r="B414" s="26" t="s">
        <v>364</v>
      </c>
      <c r="C414" s="26"/>
      <c r="D414" s="26" t="s">
        <v>356</v>
      </c>
      <c r="E414" s="26" t="s">
        <v>356</v>
      </c>
      <c r="F414" s="26" t="s">
        <v>356</v>
      </c>
      <c r="G414" s="26" t="s">
        <v>356</v>
      </c>
      <c r="H414" s="10" t="str">
        <f aca="false">IF(AND(EXACT(D414,E414),EXACT(E414,F414),EXACT(F414,G414)),"Same","DIFF")</f>
        <v>Same</v>
      </c>
    </row>
    <row r="415" customFormat="false" ht="15" hidden="false" customHeight="false" outlineLevel="0" collapsed="false">
      <c r="A415" s="26" t="s">
        <v>493</v>
      </c>
      <c r="B415" s="26" t="s">
        <v>426</v>
      </c>
      <c r="C415" s="26"/>
      <c r="D415" s="26" t="s">
        <v>356</v>
      </c>
      <c r="E415" s="26" t="s">
        <v>356</v>
      </c>
      <c r="F415" s="26" t="s">
        <v>356</v>
      </c>
      <c r="G415" s="26" t="s">
        <v>356</v>
      </c>
      <c r="H415" s="10" t="str">
        <f aca="false">IF(AND(EXACT(D415,E415),EXACT(E415,F415),EXACT(F415,G415)),"Same","DIFF")</f>
        <v>Same</v>
      </c>
    </row>
    <row r="416" customFormat="false" ht="15" hidden="false" customHeight="false" outlineLevel="0" collapsed="false">
      <c r="A416" s="26" t="s">
        <v>493</v>
      </c>
      <c r="B416" s="26" t="s">
        <v>348</v>
      </c>
      <c r="C416" s="26"/>
      <c r="D416" s="26" t="s">
        <v>320</v>
      </c>
      <c r="E416" s="26" t="s">
        <v>320</v>
      </c>
      <c r="F416" s="26" t="s">
        <v>320</v>
      </c>
      <c r="G416" s="26" t="s">
        <v>356</v>
      </c>
      <c r="H416" s="10" t="str">
        <f aca="false">IF(AND(EXACT(D416,E416),EXACT(E416,F416),EXACT(F416,G416)),"Same","DIFF")</f>
        <v>DIFF</v>
      </c>
    </row>
    <row r="417" customFormat="false" ht="15" hidden="false" customHeight="false" outlineLevel="0" collapsed="false">
      <c r="A417" s="26" t="s">
        <v>493</v>
      </c>
      <c r="B417" s="26" t="s">
        <v>349</v>
      </c>
      <c r="C417" s="26"/>
      <c r="D417" s="26" t="s">
        <v>320</v>
      </c>
      <c r="E417" s="26" t="s">
        <v>320</v>
      </c>
      <c r="F417" s="26" t="s">
        <v>320</v>
      </c>
      <c r="G417" s="26" t="s">
        <v>320</v>
      </c>
      <c r="H417" s="10" t="str">
        <f aca="false">IF(AND(EXACT(D417,E417),EXACT(E417,F417),EXACT(F417,G417)),"Same","DIFF")</f>
        <v>Same</v>
      </c>
    </row>
    <row r="418" customFormat="false" ht="15" hidden="false" customHeight="false" outlineLevel="0" collapsed="false">
      <c r="A418" s="26" t="s">
        <v>493</v>
      </c>
      <c r="B418" s="26" t="s">
        <v>386</v>
      </c>
      <c r="C418" s="26"/>
      <c r="D418" s="26" t="s">
        <v>104</v>
      </c>
      <c r="E418" s="26" t="s">
        <v>104</v>
      </c>
      <c r="F418" s="26" t="s">
        <v>104</v>
      </c>
      <c r="G418" s="26" t="s">
        <v>320</v>
      </c>
      <c r="H418" s="10" t="str">
        <f aca="false">IF(AND(EXACT(D418,E418),EXACT(E418,F418),EXACT(F418,G418)),"Same","DIFF")</f>
        <v>DIFF</v>
      </c>
    </row>
    <row r="419" customFormat="false" ht="15" hidden="false" customHeight="false" outlineLevel="0" collapsed="false">
      <c r="A419" s="26" t="s">
        <v>494</v>
      </c>
      <c r="B419" s="26" t="s">
        <v>395</v>
      </c>
      <c r="C419" s="26"/>
      <c r="D419" s="26" t="s">
        <v>104</v>
      </c>
      <c r="E419" s="26" t="s">
        <v>356</v>
      </c>
      <c r="F419" s="26" t="s">
        <v>104</v>
      </c>
      <c r="G419" s="26" t="s">
        <v>104</v>
      </c>
      <c r="H419" s="10" t="str">
        <f aca="false">IF(AND(EXACT(D419,E419),EXACT(E419,F419),EXACT(F419,G419)),"Same","DIFF")</f>
        <v>DIFF</v>
      </c>
    </row>
    <row r="420" customFormat="false" ht="15" hidden="false" customHeight="false" outlineLevel="0" collapsed="false">
      <c r="A420" s="26" t="s">
        <v>494</v>
      </c>
      <c r="B420" s="26" t="s">
        <v>396</v>
      </c>
      <c r="C420" s="26"/>
      <c r="D420" s="26" t="s">
        <v>104</v>
      </c>
      <c r="E420" s="26" t="s">
        <v>356</v>
      </c>
      <c r="F420" s="26" t="s">
        <v>104</v>
      </c>
      <c r="G420" s="26" t="s">
        <v>104</v>
      </c>
      <c r="H420" s="10" t="str">
        <f aca="false">IF(AND(EXACT(D420,E420),EXACT(E420,F420),EXACT(F420,G420)),"Same","DIFF")</f>
        <v>DIFF</v>
      </c>
    </row>
    <row r="421" customFormat="false" ht="15" hidden="false" customHeight="false" outlineLevel="0" collapsed="false">
      <c r="A421" s="26" t="s">
        <v>494</v>
      </c>
      <c r="B421" s="26" t="s">
        <v>495</v>
      </c>
      <c r="C421" s="26"/>
      <c r="D421" s="26" t="s">
        <v>104</v>
      </c>
      <c r="E421" s="26" t="s">
        <v>356</v>
      </c>
      <c r="F421" s="26" t="s">
        <v>104</v>
      </c>
      <c r="G421" s="26" t="s">
        <v>104</v>
      </c>
      <c r="H421" s="10" t="str">
        <f aca="false">IF(AND(EXACT(D421,E421),EXACT(E421,F421),EXACT(F421,G421)),"Same","DIFF")</f>
        <v>DIFF</v>
      </c>
    </row>
    <row r="422" customFormat="false" ht="15" hidden="false" customHeight="false" outlineLevel="0" collapsed="false">
      <c r="A422" s="26" t="s">
        <v>494</v>
      </c>
      <c r="B422" s="26" t="s">
        <v>355</v>
      </c>
      <c r="C422" s="26"/>
      <c r="D422" s="26" t="s">
        <v>356</v>
      </c>
      <c r="E422" s="26" t="s">
        <v>356</v>
      </c>
      <c r="F422" s="26" t="s">
        <v>356</v>
      </c>
      <c r="G422" s="26" t="s">
        <v>356</v>
      </c>
      <c r="H422" s="10" t="str">
        <f aca="false">IF(AND(EXACT(D422,E422),EXACT(E422,F422),EXACT(F422,G422)),"Same","DIFF")</f>
        <v>Same</v>
      </c>
    </row>
    <row r="423" customFormat="false" ht="15" hidden="false" customHeight="false" outlineLevel="0" collapsed="false">
      <c r="A423" s="26" t="s">
        <v>494</v>
      </c>
      <c r="B423" s="26" t="s">
        <v>369</v>
      </c>
      <c r="C423" s="26"/>
      <c r="D423" s="26" t="s">
        <v>104</v>
      </c>
      <c r="E423" s="26" t="s">
        <v>356</v>
      </c>
      <c r="F423" s="26" t="s">
        <v>104</v>
      </c>
      <c r="G423" s="26" t="s">
        <v>104</v>
      </c>
      <c r="H423" s="10" t="str">
        <f aca="false">IF(AND(EXACT(D423,E423),EXACT(E423,F423),EXACT(F423,G423)),"Same","DIFF")</f>
        <v>DIFF</v>
      </c>
    </row>
    <row r="424" customFormat="false" ht="15" hidden="false" customHeight="false" outlineLevel="0" collapsed="false">
      <c r="A424" s="26" t="s">
        <v>494</v>
      </c>
      <c r="B424" s="26" t="s">
        <v>496</v>
      </c>
      <c r="C424" s="26"/>
      <c r="D424" s="26" t="s">
        <v>104</v>
      </c>
      <c r="E424" s="26" t="s">
        <v>356</v>
      </c>
      <c r="F424" s="26" t="s">
        <v>104</v>
      </c>
      <c r="G424" s="26" t="s">
        <v>104</v>
      </c>
      <c r="H424" s="10" t="str">
        <f aca="false">IF(AND(EXACT(D424,E424),EXACT(E424,F424),EXACT(F424,G424)),"Same","DIFF")</f>
        <v>DIFF</v>
      </c>
    </row>
    <row r="425" customFormat="false" ht="15" hidden="false" customHeight="false" outlineLevel="0" collapsed="false">
      <c r="A425" s="26" t="s">
        <v>494</v>
      </c>
      <c r="B425" s="26" t="s">
        <v>497</v>
      </c>
      <c r="C425" s="26"/>
      <c r="D425" s="26" t="s">
        <v>104</v>
      </c>
      <c r="E425" s="26" t="s">
        <v>356</v>
      </c>
      <c r="F425" s="26" t="s">
        <v>104</v>
      </c>
      <c r="G425" s="26" t="s">
        <v>104</v>
      </c>
      <c r="H425" s="10" t="str">
        <f aca="false">IF(AND(EXACT(D425,E425),EXACT(E425,F425),EXACT(F425,G425)),"Same","DIFF")</f>
        <v>DIFF</v>
      </c>
    </row>
    <row r="426" customFormat="false" ht="15" hidden="false" customHeight="false" outlineLevel="0" collapsed="false">
      <c r="A426" s="26" t="s">
        <v>494</v>
      </c>
      <c r="B426" s="26" t="s">
        <v>397</v>
      </c>
      <c r="C426" s="26"/>
      <c r="D426" s="26" t="s">
        <v>104</v>
      </c>
      <c r="E426" s="26" t="s">
        <v>356</v>
      </c>
      <c r="F426" s="26" t="s">
        <v>104</v>
      </c>
      <c r="G426" s="26" t="s">
        <v>104</v>
      </c>
      <c r="H426" s="10" t="str">
        <f aca="false">IF(AND(EXACT(D426,E426),EXACT(E426,F426),EXACT(F426,G426)),"Same","DIFF")</f>
        <v>DIFF</v>
      </c>
    </row>
    <row r="427" customFormat="false" ht="15" hidden="false" customHeight="false" outlineLevel="0" collapsed="false">
      <c r="A427" s="26" t="s">
        <v>494</v>
      </c>
      <c r="B427" s="26" t="s">
        <v>498</v>
      </c>
      <c r="C427" s="26"/>
      <c r="D427" s="26" t="s">
        <v>104</v>
      </c>
      <c r="E427" s="26" t="s">
        <v>356</v>
      </c>
      <c r="F427" s="26" t="s">
        <v>104</v>
      </c>
      <c r="G427" s="26" t="s">
        <v>104</v>
      </c>
      <c r="H427" s="10" t="str">
        <f aca="false">IF(AND(EXACT(D427,E427),EXACT(E427,F427),EXACT(F427,G427)),"Same","DIFF")</f>
        <v>DIFF</v>
      </c>
    </row>
    <row r="428" customFormat="false" ht="15" hidden="false" customHeight="false" outlineLevel="0" collapsed="false">
      <c r="A428" s="26" t="s">
        <v>494</v>
      </c>
      <c r="B428" s="26" t="s">
        <v>499</v>
      </c>
      <c r="C428" s="26"/>
      <c r="D428" s="26" t="s">
        <v>104</v>
      </c>
      <c r="E428" s="26" t="s">
        <v>356</v>
      </c>
      <c r="F428" s="26" t="s">
        <v>104</v>
      </c>
      <c r="G428" s="26" t="s">
        <v>104</v>
      </c>
      <c r="H428" s="10" t="str">
        <f aca="false">IF(AND(EXACT(D428,E428),EXACT(E428,F428),EXACT(F428,G428)),"Same","DIFF")</f>
        <v>DIFF</v>
      </c>
    </row>
    <row r="429" customFormat="false" ht="15" hidden="false" customHeight="false" outlineLevel="0" collapsed="false">
      <c r="A429" s="26" t="s">
        <v>494</v>
      </c>
      <c r="B429" s="26" t="s">
        <v>500</v>
      </c>
      <c r="C429" s="26"/>
      <c r="D429" s="26" t="s">
        <v>104</v>
      </c>
      <c r="E429" s="26" t="s">
        <v>356</v>
      </c>
      <c r="F429" s="26" t="s">
        <v>104</v>
      </c>
      <c r="G429" s="26" t="s">
        <v>104</v>
      </c>
      <c r="H429" s="10" t="str">
        <f aca="false">IF(AND(EXACT(D429,E429),EXACT(E429,F429),EXACT(F429,G429)),"Same","DIFF")</f>
        <v>DIFF</v>
      </c>
    </row>
    <row r="430" customFormat="false" ht="15" hidden="false" customHeight="false" outlineLevel="0" collapsed="false">
      <c r="A430" s="26" t="s">
        <v>494</v>
      </c>
      <c r="B430" s="26" t="s">
        <v>501</v>
      </c>
      <c r="C430" s="26"/>
      <c r="D430" s="26" t="s">
        <v>104</v>
      </c>
      <c r="E430" s="26" t="s">
        <v>356</v>
      </c>
      <c r="F430" s="26" t="s">
        <v>104</v>
      </c>
      <c r="G430" s="26" t="s">
        <v>104</v>
      </c>
      <c r="H430" s="10" t="str">
        <f aca="false">IF(AND(EXACT(D430,E430),EXACT(E430,F430),EXACT(F430,G430)),"Same","DIFF")</f>
        <v>DIFF</v>
      </c>
    </row>
    <row r="431" customFormat="false" ht="15" hidden="false" customHeight="false" outlineLevel="0" collapsed="false">
      <c r="A431" s="26" t="s">
        <v>494</v>
      </c>
      <c r="B431" s="26" t="s">
        <v>502</v>
      </c>
      <c r="C431" s="26"/>
      <c r="D431" s="26" t="s">
        <v>104</v>
      </c>
      <c r="E431" s="26" t="s">
        <v>356</v>
      </c>
      <c r="F431" s="26" t="s">
        <v>104</v>
      </c>
      <c r="G431" s="26" t="s">
        <v>104</v>
      </c>
      <c r="H431" s="10" t="str">
        <f aca="false">IF(AND(EXACT(D431,E431),EXACT(E431,F431),EXACT(F431,G431)),"Same","DIFF")</f>
        <v>DIFF</v>
      </c>
    </row>
    <row r="432" customFormat="false" ht="15" hidden="false" customHeight="false" outlineLevel="0" collapsed="false">
      <c r="A432" s="26" t="s">
        <v>494</v>
      </c>
      <c r="B432" s="26" t="s">
        <v>503</v>
      </c>
      <c r="C432" s="26"/>
      <c r="D432" s="26" t="s">
        <v>104</v>
      </c>
      <c r="E432" s="26" t="s">
        <v>356</v>
      </c>
      <c r="F432" s="26" t="s">
        <v>104</v>
      </c>
      <c r="G432" s="26" t="s">
        <v>104</v>
      </c>
      <c r="H432" s="10" t="str">
        <f aca="false">IF(AND(EXACT(D432,E432),EXACT(E432,F432),EXACT(F432,G432)),"Same","DIFF")</f>
        <v>DIFF</v>
      </c>
    </row>
    <row r="433" customFormat="false" ht="15" hidden="false" customHeight="false" outlineLevel="0" collapsed="false">
      <c r="A433" s="26" t="s">
        <v>494</v>
      </c>
      <c r="B433" s="26" t="s">
        <v>504</v>
      </c>
      <c r="C433" s="26"/>
      <c r="D433" s="26" t="s">
        <v>104</v>
      </c>
      <c r="E433" s="26" t="s">
        <v>356</v>
      </c>
      <c r="F433" s="26" t="s">
        <v>104</v>
      </c>
      <c r="G433" s="26" t="s">
        <v>104</v>
      </c>
      <c r="H433" s="10" t="str">
        <f aca="false">IF(AND(EXACT(D433,E433),EXACT(E433,F433),EXACT(F433,G433)),"Same","DIFF")</f>
        <v>DIFF</v>
      </c>
    </row>
    <row r="434" customFormat="false" ht="15" hidden="false" customHeight="false" outlineLevel="0" collapsed="false">
      <c r="A434" s="26" t="s">
        <v>494</v>
      </c>
      <c r="B434" s="26" t="s">
        <v>505</v>
      </c>
      <c r="C434" s="26"/>
      <c r="D434" s="26" t="s">
        <v>104</v>
      </c>
      <c r="E434" s="26" t="s">
        <v>356</v>
      </c>
      <c r="F434" s="26" t="s">
        <v>104</v>
      </c>
      <c r="G434" s="26" t="s">
        <v>104</v>
      </c>
      <c r="H434" s="10" t="str">
        <f aca="false">IF(AND(EXACT(D434,E434),EXACT(E434,F434),EXACT(F434,G434)),"Same","DIFF")</f>
        <v>DIFF</v>
      </c>
    </row>
    <row r="435" customFormat="false" ht="15" hidden="false" customHeight="false" outlineLevel="0" collapsed="false">
      <c r="A435" s="26" t="s">
        <v>494</v>
      </c>
      <c r="B435" s="26" t="s">
        <v>506</v>
      </c>
      <c r="C435" s="26"/>
      <c r="D435" s="26" t="s">
        <v>104</v>
      </c>
      <c r="E435" s="26" t="s">
        <v>356</v>
      </c>
      <c r="F435" s="26" t="s">
        <v>104</v>
      </c>
      <c r="G435" s="26" t="s">
        <v>104</v>
      </c>
      <c r="H435" s="10" t="str">
        <f aca="false">IF(AND(EXACT(D435,E435),EXACT(E435,F435),EXACT(F435,G435)),"Same","DIFF")</f>
        <v>DIFF</v>
      </c>
    </row>
    <row r="436" customFormat="false" ht="15" hidden="false" customHeight="false" outlineLevel="0" collapsed="false">
      <c r="A436" s="26" t="s">
        <v>494</v>
      </c>
      <c r="B436" s="26" t="s">
        <v>319</v>
      </c>
      <c r="C436" s="26"/>
      <c r="D436" s="26" t="s">
        <v>104</v>
      </c>
      <c r="E436" s="26" t="s">
        <v>356</v>
      </c>
      <c r="F436" s="26" t="s">
        <v>104</v>
      </c>
      <c r="G436" s="26" t="s">
        <v>104</v>
      </c>
      <c r="H436" s="10" t="str">
        <f aca="false">IF(AND(EXACT(D436,E436),EXACT(E436,F436),EXACT(F436,G436)),"Same","DIFF")</f>
        <v>DIFF</v>
      </c>
    </row>
    <row r="437" customFormat="false" ht="15" hidden="false" customHeight="false" outlineLevel="0" collapsed="false">
      <c r="A437" s="26" t="s">
        <v>494</v>
      </c>
      <c r="B437" s="26" t="s">
        <v>507</v>
      </c>
      <c r="C437" s="26"/>
      <c r="D437" s="26" t="s">
        <v>104</v>
      </c>
      <c r="E437" s="26" t="s">
        <v>356</v>
      </c>
      <c r="F437" s="26" t="s">
        <v>104</v>
      </c>
      <c r="G437" s="26" t="s">
        <v>104</v>
      </c>
      <c r="H437" s="10" t="str">
        <f aca="false">IF(AND(EXACT(D437,E437),EXACT(E437,F437),EXACT(F437,G437)),"Same","DIFF")</f>
        <v>DIFF</v>
      </c>
    </row>
    <row r="438" customFormat="false" ht="15" hidden="false" customHeight="false" outlineLevel="0" collapsed="false">
      <c r="A438" s="26" t="s">
        <v>494</v>
      </c>
      <c r="B438" s="26" t="s">
        <v>508</v>
      </c>
      <c r="C438" s="26"/>
      <c r="D438" s="26" t="s">
        <v>104</v>
      </c>
      <c r="E438" s="26" t="s">
        <v>320</v>
      </c>
      <c r="F438" s="26" t="s">
        <v>104</v>
      </c>
      <c r="G438" s="26" t="s">
        <v>104</v>
      </c>
      <c r="H438" s="10" t="str">
        <f aca="false">IF(AND(EXACT(D438,E438),EXACT(E438,F438),EXACT(F438,G438)),"Same","DIFF")</f>
        <v>DIFF</v>
      </c>
    </row>
    <row r="439" customFormat="false" ht="15" hidden="false" customHeight="false" outlineLevel="0" collapsed="false">
      <c r="A439" s="26" t="s">
        <v>494</v>
      </c>
      <c r="B439" s="26" t="s">
        <v>509</v>
      </c>
      <c r="C439" s="26"/>
      <c r="D439" s="26" t="s">
        <v>104</v>
      </c>
      <c r="E439" s="26" t="s">
        <v>356</v>
      </c>
      <c r="F439" s="26" t="s">
        <v>104</v>
      </c>
      <c r="G439" s="26" t="s">
        <v>104</v>
      </c>
      <c r="H439" s="10" t="str">
        <f aca="false">IF(AND(EXACT(D439,E439),EXACT(E439,F439),EXACT(F439,G439)),"Same","DIFF")</f>
        <v>DIFF</v>
      </c>
    </row>
    <row r="440" customFormat="false" ht="15" hidden="false" customHeight="false" outlineLevel="0" collapsed="false">
      <c r="A440" s="26" t="s">
        <v>494</v>
      </c>
      <c r="B440" s="26" t="s">
        <v>510</v>
      </c>
      <c r="C440" s="26"/>
      <c r="D440" s="26" t="s">
        <v>104</v>
      </c>
      <c r="E440" s="26" t="s">
        <v>356</v>
      </c>
      <c r="F440" s="26" t="s">
        <v>104</v>
      </c>
      <c r="G440" s="26" t="s">
        <v>104</v>
      </c>
      <c r="H440" s="10" t="str">
        <f aca="false">IF(AND(EXACT(D440,E440),EXACT(E440,F440),EXACT(F440,G440)),"Same","DIFF")</f>
        <v>DIFF</v>
      </c>
    </row>
    <row r="441" customFormat="false" ht="15" hidden="false" customHeight="false" outlineLevel="0" collapsed="false">
      <c r="A441" s="26" t="s">
        <v>494</v>
      </c>
      <c r="B441" s="26" t="s">
        <v>511</v>
      </c>
      <c r="C441" s="26"/>
      <c r="D441" s="26" t="s">
        <v>104</v>
      </c>
      <c r="E441" s="26" t="s">
        <v>356</v>
      </c>
      <c r="F441" s="26" t="s">
        <v>104</v>
      </c>
      <c r="G441" s="26" t="s">
        <v>104</v>
      </c>
      <c r="H441" s="10" t="str">
        <f aca="false">IF(AND(EXACT(D441,E441),EXACT(E441,F441),EXACT(F441,G441)),"Same","DIFF")</f>
        <v>DIFF</v>
      </c>
    </row>
    <row r="442" customFormat="false" ht="15" hidden="false" customHeight="false" outlineLevel="0" collapsed="false">
      <c r="A442" s="26" t="s">
        <v>494</v>
      </c>
      <c r="B442" s="26" t="s">
        <v>321</v>
      </c>
      <c r="C442" s="26"/>
      <c r="D442" s="26" t="s">
        <v>104</v>
      </c>
      <c r="E442" s="26" t="s">
        <v>320</v>
      </c>
      <c r="F442" s="26" t="s">
        <v>104</v>
      </c>
      <c r="G442" s="26" t="s">
        <v>104</v>
      </c>
      <c r="H442" s="10" t="str">
        <f aca="false">IF(AND(EXACT(D442,E442),EXACT(E442,F442),EXACT(F442,G442)),"Same","DIFF")</f>
        <v>DIFF</v>
      </c>
    </row>
    <row r="443" customFormat="false" ht="15" hidden="false" customHeight="false" outlineLevel="0" collapsed="false">
      <c r="A443" s="26" t="s">
        <v>494</v>
      </c>
      <c r="B443" s="26" t="s">
        <v>318</v>
      </c>
      <c r="C443" s="26"/>
      <c r="D443" s="26" t="s">
        <v>104</v>
      </c>
      <c r="E443" s="26" t="s">
        <v>320</v>
      </c>
      <c r="F443" s="26" t="s">
        <v>104</v>
      </c>
      <c r="G443" s="26" t="s">
        <v>104</v>
      </c>
      <c r="H443" s="10" t="str">
        <f aca="false">IF(AND(EXACT(D443,E443),EXACT(E443,F443),EXACT(F443,G443)),"Same","DIFF")</f>
        <v>DIFF</v>
      </c>
    </row>
    <row r="444" customFormat="false" ht="15" hidden="false" customHeight="false" outlineLevel="0" collapsed="false">
      <c r="A444" s="26" t="s">
        <v>494</v>
      </c>
      <c r="B444" s="26" t="s">
        <v>323</v>
      </c>
      <c r="C444" s="26"/>
      <c r="D444" s="26" t="s">
        <v>320</v>
      </c>
      <c r="E444" s="26" t="s">
        <v>320</v>
      </c>
      <c r="F444" s="26" t="s">
        <v>320</v>
      </c>
      <c r="G444" s="26" t="s">
        <v>320</v>
      </c>
      <c r="H444" s="10" t="str">
        <f aca="false">IF(AND(EXACT(D444,E444),EXACT(E444,F444),EXACT(F444,G444)),"Same","DIFF")</f>
        <v>Same</v>
      </c>
    </row>
    <row r="445" customFormat="false" ht="15" hidden="false" customHeight="false" outlineLevel="0" collapsed="false">
      <c r="A445" s="26" t="s">
        <v>494</v>
      </c>
      <c r="B445" s="26" t="s">
        <v>326</v>
      </c>
      <c r="C445" s="26"/>
      <c r="D445" s="26" t="s">
        <v>320</v>
      </c>
      <c r="E445" s="26" t="s">
        <v>320</v>
      </c>
      <c r="F445" s="26" t="s">
        <v>320</v>
      </c>
      <c r="G445" s="26" t="s">
        <v>320</v>
      </c>
      <c r="H445" s="10" t="str">
        <f aca="false">IF(AND(EXACT(D445,E445),EXACT(E445,F445),EXACT(F445,G445)),"Same","DIFF")</f>
        <v>Same</v>
      </c>
    </row>
    <row r="446" customFormat="false" ht="15" hidden="false" customHeight="false" outlineLevel="0" collapsed="false">
      <c r="A446" s="26" t="s">
        <v>494</v>
      </c>
      <c r="B446" s="26" t="s">
        <v>374</v>
      </c>
      <c r="C446" s="26"/>
      <c r="D446" s="26" t="s">
        <v>104</v>
      </c>
      <c r="E446" s="26" t="s">
        <v>104</v>
      </c>
      <c r="F446" s="26" t="s">
        <v>356</v>
      </c>
      <c r="G446" s="26" t="s">
        <v>356</v>
      </c>
      <c r="H446" s="10" t="str">
        <f aca="false">IF(AND(EXACT(D446,E446),EXACT(E446,F446),EXACT(F446,G446)),"Same","DIFF")</f>
        <v>DIFF</v>
      </c>
    </row>
    <row r="447" customFormat="false" ht="15" hidden="false" customHeight="false" outlineLevel="0" collapsed="false">
      <c r="A447" s="26" t="s">
        <v>494</v>
      </c>
      <c r="B447" s="26" t="s">
        <v>400</v>
      </c>
      <c r="C447" s="26"/>
      <c r="D447" s="26" t="s">
        <v>356</v>
      </c>
      <c r="E447" s="26" t="s">
        <v>356</v>
      </c>
      <c r="F447" s="26" t="s">
        <v>104</v>
      </c>
      <c r="G447" s="26" t="s">
        <v>104</v>
      </c>
      <c r="H447" s="10" t="str">
        <f aca="false">IF(AND(EXACT(D447,E447),EXACT(E447,F447),EXACT(F447,G447)),"Same","DIFF")</f>
        <v>DIFF</v>
      </c>
    </row>
    <row r="448" customFormat="false" ht="15" hidden="false" customHeight="false" outlineLevel="0" collapsed="false">
      <c r="A448" s="26" t="s">
        <v>494</v>
      </c>
      <c r="B448" s="26" t="s">
        <v>328</v>
      </c>
      <c r="C448" s="26"/>
      <c r="D448" s="26" t="s">
        <v>356</v>
      </c>
      <c r="E448" s="26" t="s">
        <v>356</v>
      </c>
      <c r="F448" s="26" t="s">
        <v>104</v>
      </c>
      <c r="G448" s="26" t="s">
        <v>104</v>
      </c>
      <c r="H448" s="10" t="str">
        <f aca="false">IF(AND(EXACT(D448,E448),EXACT(E448,F448),EXACT(F448,G448)),"Same","DIFF")</f>
        <v>DIFF</v>
      </c>
    </row>
    <row r="449" customFormat="false" ht="15" hidden="false" customHeight="false" outlineLevel="0" collapsed="false">
      <c r="A449" s="26" t="s">
        <v>494</v>
      </c>
      <c r="B449" s="26" t="s">
        <v>330</v>
      </c>
      <c r="C449" s="26"/>
      <c r="D449" s="26" t="s">
        <v>356</v>
      </c>
      <c r="E449" s="26" t="s">
        <v>356</v>
      </c>
      <c r="F449" s="26" t="s">
        <v>104</v>
      </c>
      <c r="G449" s="26" t="s">
        <v>104</v>
      </c>
      <c r="H449" s="10" t="str">
        <f aca="false">IF(AND(EXACT(D449,E449),EXACT(E449,F449),EXACT(F449,G449)),"Same","DIFF")</f>
        <v>DIFF</v>
      </c>
    </row>
    <row r="450" customFormat="false" ht="15" hidden="false" customHeight="false" outlineLevel="0" collapsed="false">
      <c r="A450" s="26" t="s">
        <v>494</v>
      </c>
      <c r="B450" s="26" t="s">
        <v>331</v>
      </c>
      <c r="C450" s="26"/>
      <c r="D450" s="26" t="s">
        <v>320</v>
      </c>
      <c r="E450" s="26" t="s">
        <v>320</v>
      </c>
      <c r="F450" s="26" t="s">
        <v>320</v>
      </c>
      <c r="G450" s="26" t="s">
        <v>320</v>
      </c>
      <c r="H450" s="10" t="str">
        <f aca="false">IF(AND(EXACT(D450,E450),EXACT(E450,F450),EXACT(F450,G450)),"Same","DIFF")</f>
        <v>Same</v>
      </c>
    </row>
    <row r="451" customFormat="false" ht="15" hidden="false" customHeight="false" outlineLevel="0" collapsed="false">
      <c r="A451" s="26" t="s">
        <v>494</v>
      </c>
      <c r="B451" s="26" t="s">
        <v>376</v>
      </c>
      <c r="C451" s="26"/>
      <c r="D451" s="26" t="s">
        <v>320</v>
      </c>
      <c r="E451" s="26" t="s">
        <v>104</v>
      </c>
      <c r="F451" s="26" t="s">
        <v>104</v>
      </c>
      <c r="G451" s="26" t="s">
        <v>104</v>
      </c>
      <c r="H451" s="10" t="str">
        <f aca="false">IF(AND(EXACT(D451,E451),EXACT(E451,F451),EXACT(F451,G451)),"Same","DIFF")</f>
        <v>DIFF</v>
      </c>
    </row>
    <row r="452" customFormat="false" ht="15" hidden="false" customHeight="false" outlineLevel="0" collapsed="false">
      <c r="A452" s="26" t="s">
        <v>494</v>
      </c>
      <c r="B452" s="26" t="s">
        <v>377</v>
      </c>
      <c r="C452" s="26"/>
      <c r="D452" s="26" t="s">
        <v>320</v>
      </c>
      <c r="E452" s="26" t="s">
        <v>320</v>
      </c>
      <c r="F452" s="26" t="s">
        <v>104</v>
      </c>
      <c r="G452" s="26" t="s">
        <v>104</v>
      </c>
      <c r="H452" s="10" t="str">
        <f aca="false">IF(AND(EXACT(D452,E452),EXACT(E452,F452),EXACT(F452,G452)),"Same","DIFF")</f>
        <v>DIFF</v>
      </c>
    </row>
    <row r="453" customFormat="false" ht="15" hidden="false" customHeight="false" outlineLevel="0" collapsed="false">
      <c r="A453" s="26" t="s">
        <v>494</v>
      </c>
      <c r="B453" s="26" t="s">
        <v>402</v>
      </c>
      <c r="C453" s="26"/>
      <c r="D453" s="26" t="s">
        <v>356</v>
      </c>
      <c r="E453" s="26" t="s">
        <v>356</v>
      </c>
      <c r="F453" s="26" t="s">
        <v>104</v>
      </c>
      <c r="G453" s="26" t="s">
        <v>104</v>
      </c>
      <c r="H453" s="10" t="str">
        <f aca="false">IF(AND(EXACT(D453,E453),EXACT(E453,F453),EXACT(F453,G453)),"Same","DIFF")</f>
        <v>DIFF</v>
      </c>
    </row>
    <row r="454" customFormat="false" ht="15" hidden="false" customHeight="false" outlineLevel="0" collapsed="false">
      <c r="A454" s="26" t="s">
        <v>494</v>
      </c>
      <c r="B454" s="26" t="s">
        <v>378</v>
      </c>
      <c r="C454" s="26"/>
      <c r="D454" s="26" t="s">
        <v>356</v>
      </c>
      <c r="E454" s="26" t="s">
        <v>356</v>
      </c>
      <c r="F454" s="26" t="s">
        <v>104</v>
      </c>
      <c r="G454" s="26" t="s">
        <v>104</v>
      </c>
      <c r="H454" s="10" t="str">
        <f aca="false">IF(AND(EXACT(D454,E454),EXACT(E454,F454),EXACT(F454,G454)),"Same","DIFF")</f>
        <v>DIFF</v>
      </c>
    </row>
    <row r="455" customFormat="false" ht="15" hidden="false" customHeight="false" outlineLevel="0" collapsed="false">
      <c r="A455" s="26" t="s">
        <v>494</v>
      </c>
      <c r="B455" s="26" t="s">
        <v>403</v>
      </c>
      <c r="C455" s="26"/>
      <c r="D455" s="26" t="s">
        <v>356</v>
      </c>
      <c r="E455" s="26" t="s">
        <v>356</v>
      </c>
      <c r="F455" s="26" t="s">
        <v>104</v>
      </c>
      <c r="G455" s="26" t="s">
        <v>104</v>
      </c>
      <c r="H455" s="10" t="str">
        <f aca="false">IF(AND(EXACT(D455,E455),EXACT(E455,F455),EXACT(F455,G455)),"Same","DIFF")</f>
        <v>DIFF</v>
      </c>
    </row>
    <row r="456" customFormat="false" ht="15" hidden="false" customHeight="false" outlineLevel="0" collapsed="false">
      <c r="A456" s="26" t="s">
        <v>494</v>
      </c>
      <c r="B456" s="26" t="s">
        <v>404</v>
      </c>
      <c r="C456" s="26"/>
      <c r="D456" s="26" t="s">
        <v>356</v>
      </c>
      <c r="E456" s="26" t="s">
        <v>356</v>
      </c>
      <c r="F456" s="26" t="s">
        <v>104</v>
      </c>
      <c r="G456" s="26" t="s">
        <v>104</v>
      </c>
      <c r="H456" s="10" t="str">
        <f aca="false">IF(AND(EXACT(D456,E456),EXACT(E456,F456),EXACT(F456,G456)),"Same","DIFF")</f>
        <v>DIFF</v>
      </c>
    </row>
    <row r="457" customFormat="false" ht="15" hidden="false" customHeight="false" outlineLevel="0" collapsed="false">
      <c r="A457" s="26" t="s">
        <v>494</v>
      </c>
      <c r="B457" s="26" t="s">
        <v>379</v>
      </c>
      <c r="C457" s="26"/>
      <c r="D457" s="26" t="s">
        <v>356</v>
      </c>
      <c r="E457" s="26" t="s">
        <v>356</v>
      </c>
      <c r="F457" s="26" t="s">
        <v>104</v>
      </c>
      <c r="G457" s="26" t="s">
        <v>104</v>
      </c>
      <c r="H457" s="10" t="str">
        <f aca="false">IF(AND(EXACT(D457,E457),EXACT(E457,F457),EXACT(F457,G457)),"Same","DIFF")</f>
        <v>DIFF</v>
      </c>
    </row>
    <row r="458" customFormat="false" ht="15" hidden="false" customHeight="false" outlineLevel="0" collapsed="false">
      <c r="A458" s="26" t="s">
        <v>494</v>
      </c>
      <c r="B458" s="26" t="s">
        <v>405</v>
      </c>
      <c r="C458" s="26"/>
      <c r="D458" s="26" t="s">
        <v>356</v>
      </c>
      <c r="E458" s="26" t="s">
        <v>356</v>
      </c>
      <c r="F458" s="26" t="s">
        <v>104</v>
      </c>
      <c r="G458" s="26" t="s">
        <v>104</v>
      </c>
      <c r="H458" s="10" t="str">
        <f aca="false">IF(AND(EXACT(D458,E458),EXACT(E458,F458),EXACT(F458,G458)),"Same","DIFF")</f>
        <v>DIFF</v>
      </c>
    </row>
    <row r="459" customFormat="false" ht="15" hidden="false" customHeight="false" outlineLevel="0" collapsed="false">
      <c r="A459" s="26" t="s">
        <v>494</v>
      </c>
      <c r="B459" s="26" t="s">
        <v>406</v>
      </c>
      <c r="C459" s="26"/>
      <c r="D459" s="26" t="s">
        <v>356</v>
      </c>
      <c r="E459" s="26" t="s">
        <v>356</v>
      </c>
      <c r="F459" s="26" t="s">
        <v>104</v>
      </c>
      <c r="G459" s="26" t="s">
        <v>104</v>
      </c>
      <c r="H459" s="10" t="str">
        <f aca="false">IF(AND(EXACT(D459,E459),EXACT(E459,F459),EXACT(F459,G459)),"Same","DIFF")</f>
        <v>DIFF</v>
      </c>
    </row>
    <row r="460" customFormat="false" ht="15" hidden="false" customHeight="false" outlineLevel="0" collapsed="false">
      <c r="A460" s="26" t="s">
        <v>494</v>
      </c>
      <c r="B460" s="26" t="s">
        <v>407</v>
      </c>
      <c r="C460" s="26"/>
      <c r="D460" s="26" t="s">
        <v>356</v>
      </c>
      <c r="E460" s="26" t="s">
        <v>356</v>
      </c>
      <c r="F460" s="26" t="s">
        <v>104</v>
      </c>
      <c r="G460" s="26" t="s">
        <v>104</v>
      </c>
      <c r="H460" s="10" t="str">
        <f aca="false">IF(AND(EXACT(D460,E460),EXACT(E460,F460),EXACT(F460,G460)),"Same","DIFF")</f>
        <v>DIFF</v>
      </c>
    </row>
    <row r="461" customFormat="false" ht="15" hidden="false" customHeight="false" outlineLevel="0" collapsed="false">
      <c r="A461" s="26" t="s">
        <v>494</v>
      </c>
      <c r="B461" s="26" t="s">
        <v>408</v>
      </c>
      <c r="C461" s="26"/>
      <c r="D461" s="26" t="s">
        <v>356</v>
      </c>
      <c r="E461" s="26" t="s">
        <v>356</v>
      </c>
      <c r="F461" s="26" t="s">
        <v>104</v>
      </c>
      <c r="G461" s="26" t="s">
        <v>104</v>
      </c>
      <c r="H461" s="10" t="str">
        <f aca="false">IF(AND(EXACT(D461,E461),EXACT(E461,F461),EXACT(F461,G461)),"Same","DIFF")</f>
        <v>DIFF</v>
      </c>
    </row>
    <row r="462" customFormat="false" ht="15" hidden="false" customHeight="false" outlineLevel="0" collapsed="false">
      <c r="A462" s="26" t="s">
        <v>494</v>
      </c>
      <c r="B462" s="26" t="s">
        <v>410</v>
      </c>
      <c r="C462" s="26"/>
      <c r="D462" s="26" t="s">
        <v>356</v>
      </c>
      <c r="E462" s="26" t="s">
        <v>356</v>
      </c>
      <c r="F462" s="26" t="s">
        <v>104</v>
      </c>
      <c r="G462" s="26" t="s">
        <v>104</v>
      </c>
      <c r="H462" s="10" t="str">
        <f aca="false">IF(AND(EXACT(D462,E462),EXACT(E462,F462),EXACT(F462,G462)),"Same","DIFF")</f>
        <v>DIFF</v>
      </c>
    </row>
    <row r="463" customFormat="false" ht="15" hidden="false" customHeight="false" outlineLevel="0" collapsed="false">
      <c r="A463" s="26" t="s">
        <v>494</v>
      </c>
      <c r="B463" s="26" t="s">
        <v>411</v>
      </c>
      <c r="C463" s="26"/>
      <c r="D463" s="26" t="s">
        <v>356</v>
      </c>
      <c r="E463" s="26" t="s">
        <v>356</v>
      </c>
      <c r="F463" s="26" t="s">
        <v>104</v>
      </c>
      <c r="G463" s="26" t="s">
        <v>104</v>
      </c>
      <c r="H463" s="10" t="str">
        <f aca="false">IF(AND(EXACT(D463,E463),EXACT(E463,F463),EXACT(F463,G463)),"Same","DIFF")</f>
        <v>DIFF</v>
      </c>
    </row>
    <row r="464" customFormat="false" ht="15" hidden="false" customHeight="false" outlineLevel="0" collapsed="false">
      <c r="A464" s="26" t="s">
        <v>494</v>
      </c>
      <c r="B464" s="26" t="s">
        <v>412</v>
      </c>
      <c r="C464" s="26"/>
      <c r="D464" s="26" t="s">
        <v>356</v>
      </c>
      <c r="E464" s="26" t="s">
        <v>356</v>
      </c>
      <c r="F464" s="26" t="s">
        <v>104</v>
      </c>
      <c r="G464" s="26" t="s">
        <v>104</v>
      </c>
      <c r="H464" s="10" t="str">
        <f aca="false">IF(AND(EXACT(D464,E464),EXACT(E464,F464),EXACT(F464,G464)),"Same","DIFF")</f>
        <v>DIFF</v>
      </c>
    </row>
    <row r="465" customFormat="false" ht="15" hidden="false" customHeight="false" outlineLevel="0" collapsed="false">
      <c r="A465" s="26" t="s">
        <v>494</v>
      </c>
      <c r="B465" s="26" t="s">
        <v>413</v>
      </c>
      <c r="C465" s="26"/>
      <c r="D465" s="26" t="s">
        <v>356</v>
      </c>
      <c r="E465" s="26" t="s">
        <v>356</v>
      </c>
      <c r="F465" s="26" t="s">
        <v>104</v>
      </c>
      <c r="G465" s="26" t="s">
        <v>104</v>
      </c>
      <c r="H465" s="10" t="str">
        <f aca="false">IF(AND(EXACT(D465,E465),EXACT(E465,F465),EXACT(F465,G465)),"Same","DIFF")</f>
        <v>DIFF</v>
      </c>
    </row>
    <row r="466" customFormat="false" ht="15" hidden="false" customHeight="false" outlineLevel="0" collapsed="false">
      <c r="A466" s="26" t="s">
        <v>494</v>
      </c>
      <c r="B466" s="26" t="s">
        <v>414</v>
      </c>
      <c r="C466" s="26"/>
      <c r="D466" s="26" t="s">
        <v>356</v>
      </c>
      <c r="E466" s="26" t="s">
        <v>356</v>
      </c>
      <c r="F466" s="26" t="s">
        <v>104</v>
      </c>
      <c r="G466" s="26" t="s">
        <v>104</v>
      </c>
      <c r="H466" s="10" t="str">
        <f aca="false">IF(AND(EXACT(D466,E466),EXACT(E466,F466),EXACT(F466,G466)),"Same","DIFF")</f>
        <v>DIFF</v>
      </c>
    </row>
    <row r="467" customFormat="false" ht="15" hidden="false" customHeight="false" outlineLevel="0" collapsed="false">
      <c r="A467" s="26" t="s">
        <v>494</v>
      </c>
      <c r="B467" s="26" t="s">
        <v>415</v>
      </c>
      <c r="C467" s="26"/>
      <c r="D467" s="26" t="s">
        <v>356</v>
      </c>
      <c r="E467" s="26" t="s">
        <v>356</v>
      </c>
      <c r="F467" s="26" t="s">
        <v>104</v>
      </c>
      <c r="G467" s="26" t="s">
        <v>104</v>
      </c>
      <c r="H467" s="10" t="str">
        <f aca="false">IF(AND(EXACT(D467,E467),EXACT(E467,F467),EXACT(F467,G467)),"Same","DIFF")</f>
        <v>DIFF</v>
      </c>
    </row>
    <row r="468" customFormat="false" ht="15" hidden="false" customHeight="false" outlineLevel="0" collapsed="false">
      <c r="A468" s="26" t="s">
        <v>494</v>
      </c>
      <c r="B468" s="26" t="s">
        <v>389</v>
      </c>
      <c r="C468" s="26"/>
      <c r="D468" s="26" t="s">
        <v>320</v>
      </c>
      <c r="E468" s="26" t="s">
        <v>320</v>
      </c>
      <c r="F468" s="26" t="s">
        <v>356</v>
      </c>
      <c r="G468" s="26" t="s">
        <v>356</v>
      </c>
      <c r="H468" s="10" t="str">
        <f aca="false">IF(AND(EXACT(D468,E468),EXACT(E468,F468),EXACT(F468,G468)),"Same","DIFF")</f>
        <v>DIFF</v>
      </c>
    </row>
    <row r="469" customFormat="false" ht="15" hidden="false" customHeight="false" outlineLevel="0" collapsed="false">
      <c r="A469" s="26" t="s">
        <v>494</v>
      </c>
      <c r="B469" s="26" t="s">
        <v>338</v>
      </c>
      <c r="C469" s="26"/>
      <c r="D469" s="26" t="s">
        <v>320</v>
      </c>
      <c r="E469" s="26" t="s">
        <v>320</v>
      </c>
      <c r="F469" s="26" t="s">
        <v>320</v>
      </c>
      <c r="G469" s="26" t="s">
        <v>320</v>
      </c>
      <c r="H469" s="10" t="str">
        <f aca="false">IF(AND(EXACT(D469,E469),EXACT(E469,F469),EXACT(F469,G469)),"Same","DIFF")</f>
        <v>Same</v>
      </c>
    </row>
    <row r="470" customFormat="false" ht="15" hidden="false" customHeight="false" outlineLevel="0" collapsed="false">
      <c r="A470" s="26" t="s">
        <v>494</v>
      </c>
      <c r="B470" s="26" t="s">
        <v>358</v>
      </c>
      <c r="C470" s="26"/>
      <c r="D470" s="26" t="s">
        <v>356</v>
      </c>
      <c r="E470" s="26" t="s">
        <v>356</v>
      </c>
      <c r="F470" s="26" t="s">
        <v>356</v>
      </c>
      <c r="G470" s="26" t="s">
        <v>356</v>
      </c>
      <c r="H470" s="10" t="str">
        <f aca="false">IF(AND(EXACT(D470,E470),EXACT(E470,F470),EXACT(F470,G470)),"Same","DIFF")</f>
        <v>Same</v>
      </c>
    </row>
    <row r="471" customFormat="false" ht="15" hidden="false" customHeight="false" outlineLevel="0" collapsed="false">
      <c r="A471" s="26" t="s">
        <v>494</v>
      </c>
      <c r="B471" s="26" t="s">
        <v>425</v>
      </c>
      <c r="C471" s="26"/>
      <c r="D471" s="26" t="s">
        <v>356</v>
      </c>
      <c r="E471" s="26" t="s">
        <v>356</v>
      </c>
      <c r="F471" s="26" t="s">
        <v>356</v>
      </c>
      <c r="G471" s="26" t="s">
        <v>356</v>
      </c>
      <c r="H471" s="10" t="str">
        <f aca="false">IF(AND(EXACT(D471,E471),EXACT(E471,F471),EXACT(F471,G471)),"Same","DIFF")</f>
        <v>Same</v>
      </c>
    </row>
    <row r="472" customFormat="false" ht="15" hidden="false" customHeight="false" outlineLevel="0" collapsed="false">
      <c r="A472" s="26" t="s">
        <v>494</v>
      </c>
      <c r="B472" s="26" t="s">
        <v>112</v>
      </c>
      <c r="C472" s="26"/>
      <c r="D472" s="26" t="s">
        <v>320</v>
      </c>
      <c r="E472" s="26" t="s">
        <v>320</v>
      </c>
      <c r="F472" s="26" t="s">
        <v>104</v>
      </c>
      <c r="G472" s="26" t="s">
        <v>104</v>
      </c>
      <c r="H472" s="10" t="str">
        <f aca="false">IF(AND(EXACT(D472,E472),EXACT(E472,F472),EXACT(F472,G472)),"Same","DIFF")</f>
        <v>DIFF</v>
      </c>
    </row>
    <row r="473" customFormat="false" ht="15" hidden="false" customHeight="false" outlineLevel="0" collapsed="false">
      <c r="A473" s="26" t="s">
        <v>494</v>
      </c>
      <c r="B473" s="26" t="s">
        <v>382</v>
      </c>
      <c r="C473" s="26"/>
      <c r="D473" s="26" t="s">
        <v>356</v>
      </c>
      <c r="E473" s="26" t="s">
        <v>104</v>
      </c>
      <c r="F473" s="26" t="s">
        <v>104</v>
      </c>
      <c r="G473" s="26" t="s">
        <v>104</v>
      </c>
      <c r="H473" s="10" t="str">
        <f aca="false">IF(AND(EXACT(D473,E473),EXACT(E473,F473),EXACT(F473,G473)),"Same","DIFF")</f>
        <v>DIFF</v>
      </c>
    </row>
    <row r="474" customFormat="false" ht="15" hidden="false" customHeight="false" outlineLevel="0" collapsed="false">
      <c r="A474" s="26" t="s">
        <v>494</v>
      </c>
      <c r="B474" s="26" t="s">
        <v>344</v>
      </c>
      <c r="C474" s="26"/>
      <c r="D474" s="26" t="s">
        <v>104</v>
      </c>
      <c r="E474" s="26" t="s">
        <v>320</v>
      </c>
      <c r="F474" s="26" t="s">
        <v>320</v>
      </c>
      <c r="G474" s="26" t="s">
        <v>320</v>
      </c>
      <c r="H474" s="10" t="str">
        <f aca="false">IF(AND(EXACT(D474,E474),EXACT(E474,F474),EXACT(F474,G474)),"Same","DIFF")</f>
        <v>DIFF</v>
      </c>
    </row>
    <row r="475" customFormat="false" ht="15" hidden="false" customHeight="false" outlineLevel="0" collapsed="false">
      <c r="A475" s="26" t="s">
        <v>494</v>
      </c>
      <c r="B475" s="26" t="s">
        <v>364</v>
      </c>
      <c r="C475" s="26"/>
      <c r="D475" s="26" t="s">
        <v>356</v>
      </c>
      <c r="E475" s="26" t="s">
        <v>356</v>
      </c>
      <c r="F475" s="26" t="s">
        <v>356</v>
      </c>
      <c r="G475" s="26" t="s">
        <v>356</v>
      </c>
      <c r="H475" s="10" t="str">
        <f aca="false">IF(AND(EXACT(D475,E475),EXACT(E475,F475),EXACT(F475,G475)),"Same","DIFF")</f>
        <v>Same</v>
      </c>
    </row>
    <row r="476" customFormat="false" ht="15" hidden="false" customHeight="false" outlineLevel="0" collapsed="false">
      <c r="A476" s="26" t="s">
        <v>494</v>
      </c>
      <c r="B476" s="26" t="s">
        <v>346</v>
      </c>
      <c r="C476" s="26"/>
      <c r="D476" s="26" t="s">
        <v>104</v>
      </c>
      <c r="E476" s="26" t="s">
        <v>320</v>
      </c>
      <c r="F476" s="26" t="s">
        <v>104</v>
      </c>
      <c r="G476" s="26" t="s">
        <v>104</v>
      </c>
      <c r="H476" s="10" t="str">
        <f aca="false">IF(AND(EXACT(D476,E476),EXACT(E476,F476),EXACT(F476,G476)),"Same","DIFF")</f>
        <v>DIFF</v>
      </c>
    </row>
    <row r="477" customFormat="false" ht="15" hidden="false" customHeight="false" outlineLevel="0" collapsed="false">
      <c r="A477" s="26" t="s">
        <v>494</v>
      </c>
      <c r="B477" s="26" t="s">
        <v>426</v>
      </c>
      <c r="C477" s="26"/>
      <c r="D477" s="26" t="s">
        <v>356</v>
      </c>
      <c r="E477" s="26" t="s">
        <v>356</v>
      </c>
      <c r="F477" s="26" t="s">
        <v>356</v>
      </c>
      <c r="G477" s="26" t="s">
        <v>356</v>
      </c>
      <c r="H477" s="10" t="str">
        <f aca="false">IF(AND(EXACT(D477,E477),EXACT(E477,F477),EXACT(F477,G477)),"Same","DIFF")</f>
        <v>Same</v>
      </c>
    </row>
    <row r="478" customFormat="false" ht="15" hidden="false" customHeight="false" outlineLevel="0" collapsed="false">
      <c r="A478" s="26" t="s">
        <v>494</v>
      </c>
      <c r="B478" s="26" t="s">
        <v>348</v>
      </c>
      <c r="C478" s="26"/>
      <c r="D478" s="26" t="s">
        <v>320</v>
      </c>
      <c r="E478" s="26" t="s">
        <v>320</v>
      </c>
      <c r="F478" s="26" t="s">
        <v>356</v>
      </c>
      <c r="G478" s="26" t="s">
        <v>320</v>
      </c>
      <c r="H478" s="10" t="str">
        <f aca="false">IF(AND(EXACT(D478,E478),EXACT(E478,F478),EXACT(F478,G478)),"Same","DIFF")</f>
        <v>DIFF</v>
      </c>
    </row>
    <row r="479" customFormat="false" ht="15" hidden="false" customHeight="false" outlineLevel="0" collapsed="false">
      <c r="A479" s="26" t="s">
        <v>494</v>
      </c>
      <c r="B479" s="26" t="s">
        <v>349</v>
      </c>
      <c r="C479" s="26"/>
      <c r="D479" s="26" t="s">
        <v>320</v>
      </c>
      <c r="E479" s="26" t="s">
        <v>320</v>
      </c>
      <c r="F479" s="26" t="s">
        <v>104</v>
      </c>
      <c r="G479" s="26" t="s">
        <v>320</v>
      </c>
      <c r="H479" s="10" t="str">
        <f aca="false">IF(AND(EXACT(D479,E479),EXACT(E479,F479),EXACT(F479,G479)),"Same","DIFF")</f>
        <v>DIFF</v>
      </c>
    </row>
  </sheetData>
  <autoFilter ref="A1:H479"/>
  <conditionalFormatting sqref="E2:G479">
    <cfRule type="expression" priority="2" aboveAverage="0" equalAverage="0" bottom="0" percent="0" rank="0" text="" dxfId="3">
      <formula>NOT(EXACT(E2,$D2))</formula>
    </cfRule>
  </conditionalFormatting>
  <conditionalFormatting sqref="H2:H479">
    <cfRule type="expression" priority="3" aboveAverage="0" equalAverage="0" bottom="0" percent="0" rank="0" text="" dxfId="11">
      <formula>$H2="DIFF"</formula>
    </cfRule>
  </conditionalFormatting>
  <conditionalFormatting sqref="D2:G479">
    <cfRule type="expression" priority="4" aboveAverage="0" equalAverage="0" bottom="0" percent="0" rank="0" text="" dxfId="12">
      <formula>OR(D2="(absent)",D2="(null)")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4"/>
    <col collapsed="false" customWidth="true" hidden="false" outlineLevel="0" max="7" min="4" style="0" width="30"/>
    <col collapsed="false" customWidth="true" hidden="false" outlineLevel="0" max="8" min="8" style="0" width="10"/>
  </cols>
  <sheetData>
    <row r="1" customFormat="false" ht="30" hidden="false" customHeight="true" outlineLevel="0" collapsed="false">
      <c r="A1" s="20" t="s">
        <v>311</v>
      </c>
      <c r="B1" s="20" t="s">
        <v>512</v>
      </c>
      <c r="C1" s="20"/>
      <c r="D1" s="20" t="s">
        <v>90</v>
      </c>
      <c r="E1" s="20" t="s">
        <v>13</v>
      </c>
      <c r="F1" s="20" t="s">
        <v>14</v>
      </c>
      <c r="G1" s="20" t="s">
        <v>15</v>
      </c>
      <c r="H1" s="20" t="s">
        <v>77</v>
      </c>
    </row>
    <row r="2" customFormat="false" ht="23.85" hidden="false" customHeight="false" outlineLevel="0" collapsed="false">
      <c r="A2" s="26" t="s">
        <v>513</v>
      </c>
      <c r="B2" s="26" t="s">
        <v>514</v>
      </c>
      <c r="C2" s="26"/>
      <c r="D2" s="26" t="s">
        <v>104</v>
      </c>
      <c r="E2" s="26" t="s">
        <v>104</v>
      </c>
      <c r="F2" s="26" t="s">
        <v>104</v>
      </c>
      <c r="G2" s="26" t="s">
        <v>513</v>
      </c>
      <c r="H2" s="10" t="str">
        <f aca="false">IF(AND(EXACT(D2,E2),EXACT(E2,F2),EXACT(F2,G2)),"Same","DIFF")</f>
        <v>DIFF</v>
      </c>
    </row>
    <row r="3" customFormat="false" ht="23.85" hidden="false" customHeight="false" outlineLevel="0" collapsed="false">
      <c r="A3" s="26" t="s">
        <v>513</v>
      </c>
      <c r="B3" s="26" t="s">
        <v>515</v>
      </c>
      <c r="C3" s="26"/>
      <c r="D3" s="26" t="s">
        <v>104</v>
      </c>
      <c r="E3" s="26" t="s">
        <v>104</v>
      </c>
      <c r="F3" s="26" t="s">
        <v>104</v>
      </c>
      <c r="G3" s="26" t="s">
        <v>137</v>
      </c>
      <c r="H3" s="10" t="str">
        <f aca="false">IF(AND(EXACT(D3,E3),EXACT(E3,F3),EXACT(F3,G3)),"Same","DIFF")</f>
        <v>DIFF</v>
      </c>
    </row>
    <row r="4" customFormat="false" ht="23.85" hidden="false" customHeight="false" outlineLevel="0" collapsed="false">
      <c r="A4" s="26" t="s">
        <v>513</v>
      </c>
      <c r="B4" s="26" t="s">
        <v>224</v>
      </c>
      <c r="C4" s="26"/>
      <c r="D4" s="26" t="s">
        <v>104</v>
      </c>
      <c r="E4" s="26" t="s">
        <v>104</v>
      </c>
      <c r="F4" s="26" t="s">
        <v>104</v>
      </c>
      <c r="G4" s="26" t="s">
        <v>137</v>
      </c>
      <c r="H4" s="10" t="str">
        <f aca="false">IF(AND(EXACT(D4,E4),EXACT(E4,F4),EXACT(F4,G4)),"Same","DIFF")</f>
        <v>DIFF</v>
      </c>
    </row>
    <row r="5" customFormat="false" ht="23.85" hidden="false" customHeight="false" outlineLevel="0" collapsed="false">
      <c r="A5" s="26" t="s">
        <v>513</v>
      </c>
      <c r="B5" s="26" t="s">
        <v>516</v>
      </c>
      <c r="C5" s="26"/>
      <c r="D5" s="26" t="n">
        <f aca="false">COUNTIFS('Group Permissions'!$A$2:$A$479,$A5,'Group Permissions'!D$2:D$479,"&lt;&gt;(absent)")</f>
        <v>0</v>
      </c>
      <c r="E5" s="26" t="n">
        <f aca="false">COUNTIFS('Group Permissions'!$A$2:$A$479,$A5,'Group Permissions'!E$2:E$479,"&lt;&gt;(absent)")</f>
        <v>0</v>
      </c>
      <c r="F5" s="26" t="n">
        <f aca="false">COUNTIFS('Group Permissions'!$A$2:$A$479,$A5,'Group Permissions'!F$2:F$479,"&lt;&gt;(absent)")</f>
        <v>0</v>
      </c>
      <c r="G5" s="26" t="n">
        <f aca="false">COUNTIFS('Group Permissions'!$A$2:$A$479,$A5,'Group Permissions'!G$2:G$479,"&lt;&gt;(absent)")</f>
        <v>0</v>
      </c>
      <c r="H5" s="10" t="str">
        <f aca="false">IF(AND(EXACT(D5,E5),EXACT(E5,F5),EXACT(F5,G5)),"Same","DIFF")</f>
        <v>Same</v>
      </c>
    </row>
    <row r="6" customFormat="false" ht="15" hidden="false" customHeight="false" outlineLevel="0" collapsed="false">
      <c r="A6" s="26" t="s">
        <v>318</v>
      </c>
      <c r="B6" s="26" t="s">
        <v>514</v>
      </c>
      <c r="C6" s="26"/>
      <c r="D6" s="26" t="s">
        <v>318</v>
      </c>
      <c r="E6" s="26" t="s">
        <v>318</v>
      </c>
      <c r="F6" s="26" t="s">
        <v>318</v>
      </c>
      <c r="G6" s="26" t="s">
        <v>318</v>
      </c>
      <c r="H6" s="10" t="str">
        <f aca="false">IF(AND(EXACT(D6,E6),EXACT(E6,F6),EXACT(F6,G6)),"Same","DIFF")</f>
        <v>Same</v>
      </c>
    </row>
    <row r="7" customFormat="false" ht="15" hidden="false" customHeight="false" outlineLevel="0" collapsed="false">
      <c r="A7" s="26" t="s">
        <v>318</v>
      </c>
      <c r="B7" s="26" t="s">
        <v>515</v>
      </c>
      <c r="C7" s="26"/>
      <c r="D7" s="26" t="s">
        <v>137</v>
      </c>
      <c r="E7" s="26" t="s">
        <v>137</v>
      </c>
      <c r="F7" s="26" t="s">
        <v>137</v>
      </c>
      <c r="G7" s="26" t="s">
        <v>137</v>
      </c>
      <c r="H7" s="10" t="str">
        <f aca="false">IF(AND(EXACT(D7,E7),EXACT(E7,F7),EXACT(F7,G7)),"Same","DIFF")</f>
        <v>Same</v>
      </c>
    </row>
    <row r="8" customFormat="false" ht="23.85" hidden="false" customHeight="false" outlineLevel="0" collapsed="false">
      <c r="A8" s="26" t="s">
        <v>318</v>
      </c>
      <c r="B8" s="26" t="s">
        <v>224</v>
      </c>
      <c r="C8" s="26"/>
      <c r="D8" s="26" t="s">
        <v>517</v>
      </c>
      <c r="E8" s="26" t="s">
        <v>517</v>
      </c>
      <c r="F8" s="26" t="s">
        <v>517</v>
      </c>
      <c r="G8" s="26" t="s">
        <v>517</v>
      </c>
      <c r="H8" s="10" t="str">
        <f aca="false">IF(AND(EXACT(D8,E8),EXACT(E8,F8),EXACT(F8,G8)),"Same","DIFF")</f>
        <v>Same</v>
      </c>
    </row>
    <row r="9" customFormat="false" ht="23.85" hidden="false" customHeight="false" outlineLevel="0" collapsed="false">
      <c r="A9" s="26" t="s">
        <v>318</v>
      </c>
      <c r="B9" s="26" t="s">
        <v>516</v>
      </c>
      <c r="C9" s="26"/>
      <c r="D9" s="26" t="n">
        <f aca="false">COUNTIFS('Group Permissions'!$A$2:$A$479,$A9,'Group Permissions'!D$2:D$479,"&lt;&gt;(absent)")</f>
        <v>13</v>
      </c>
      <c r="E9" s="26" t="n">
        <f aca="false">COUNTIFS('Group Permissions'!$A$2:$A$479,$A9,'Group Permissions'!E$2:E$479,"&lt;&gt;(absent)")</f>
        <v>31</v>
      </c>
      <c r="F9" s="26" t="n">
        <f aca="false">COUNTIFS('Group Permissions'!$A$2:$A$479,$A9,'Group Permissions'!F$2:F$479,"&lt;&gt;(absent)")</f>
        <v>31</v>
      </c>
      <c r="G9" s="26" t="n">
        <f aca="false">COUNTIFS('Group Permissions'!$A$2:$A$479,$A9,'Group Permissions'!G$2:G$479,"&lt;&gt;(absent)")</f>
        <v>31</v>
      </c>
      <c r="H9" s="10" t="str">
        <f aca="false">IF(AND(EXACT(D9,E9),EXACT(E9,F9),EXACT(F9,G9)),"Same","DIFF")</f>
        <v>DIFF</v>
      </c>
    </row>
    <row r="10" customFormat="false" ht="15" hidden="false" customHeight="false" outlineLevel="0" collapsed="false">
      <c r="A10" s="26" t="s">
        <v>350</v>
      </c>
      <c r="B10" s="26" t="s">
        <v>514</v>
      </c>
      <c r="C10" s="26"/>
      <c r="D10" s="26" t="s">
        <v>350</v>
      </c>
      <c r="E10" s="26" t="s">
        <v>350</v>
      </c>
      <c r="F10" s="26" t="s">
        <v>350</v>
      </c>
      <c r="G10" s="26" t="s">
        <v>350</v>
      </c>
      <c r="H10" s="10" t="str">
        <f aca="false">IF(AND(EXACT(D10,E10),EXACT(E10,F10),EXACT(F10,G10)),"Same","DIFF")</f>
        <v>Same</v>
      </c>
    </row>
    <row r="11" customFormat="false" ht="15" hidden="false" customHeight="false" outlineLevel="0" collapsed="false">
      <c r="A11" s="26" t="s">
        <v>350</v>
      </c>
      <c r="B11" s="26" t="s">
        <v>515</v>
      </c>
      <c r="C11" s="26"/>
      <c r="D11" s="26" t="s">
        <v>351</v>
      </c>
      <c r="E11" s="26" t="s">
        <v>351</v>
      </c>
      <c r="F11" s="26" t="s">
        <v>351</v>
      </c>
      <c r="G11" s="26" t="s">
        <v>351</v>
      </c>
      <c r="H11" s="10" t="str">
        <f aca="false">IF(AND(EXACT(D11,E11),EXACT(E11,F11),EXACT(F11,G11)),"Same","DIFF")</f>
        <v>Same</v>
      </c>
    </row>
    <row r="12" customFormat="false" ht="15" hidden="false" customHeight="false" outlineLevel="0" collapsed="false">
      <c r="A12" s="26" t="s">
        <v>350</v>
      </c>
      <c r="B12" s="26" t="s">
        <v>224</v>
      </c>
      <c r="C12" s="26"/>
      <c r="D12" s="26" t="s">
        <v>137</v>
      </c>
      <c r="E12" s="26" t="s">
        <v>137</v>
      </c>
      <c r="F12" s="26" t="s">
        <v>137</v>
      </c>
      <c r="G12" s="26" t="s">
        <v>137</v>
      </c>
      <c r="H12" s="10" t="str">
        <f aca="false">IF(AND(EXACT(D12,E12),EXACT(E12,F12),EXACT(F12,G12)),"Same","DIFF")</f>
        <v>Same</v>
      </c>
    </row>
    <row r="13" customFormat="false" ht="23.85" hidden="false" customHeight="false" outlineLevel="0" collapsed="false">
      <c r="A13" s="26" t="s">
        <v>350</v>
      </c>
      <c r="B13" s="26" t="s">
        <v>516</v>
      </c>
      <c r="C13" s="26"/>
      <c r="D13" s="26" t="n">
        <f aca="false">COUNTIFS('Group Permissions'!$A$2:$A$479,$A13,'Group Permissions'!D$2:D$479,"&lt;&gt;(absent)")</f>
        <v>7</v>
      </c>
      <c r="E13" s="26" t="n">
        <f aca="false">COUNTIFS('Group Permissions'!$A$2:$A$479,$A13,'Group Permissions'!E$2:E$479,"&lt;&gt;(absent)")</f>
        <v>7</v>
      </c>
      <c r="F13" s="26" t="n">
        <f aca="false">COUNTIFS('Group Permissions'!$A$2:$A$479,$A13,'Group Permissions'!F$2:F$479,"&lt;&gt;(absent)")</f>
        <v>7</v>
      </c>
      <c r="G13" s="26" t="n">
        <f aca="false">COUNTIFS('Group Permissions'!$A$2:$A$479,$A13,'Group Permissions'!G$2:G$479,"&lt;&gt;(absent)")</f>
        <v>7</v>
      </c>
      <c r="H13" s="10" t="str">
        <f aca="false">IF(AND(EXACT(D13,E13),EXACT(E13,F13),EXACT(F13,G13)),"Same","DIFF")</f>
        <v>Same</v>
      </c>
    </row>
    <row r="14" customFormat="false" ht="15" hidden="false" customHeight="false" outlineLevel="0" collapsed="false">
      <c r="A14" s="26" t="s">
        <v>351</v>
      </c>
      <c r="B14" s="26" t="s">
        <v>514</v>
      </c>
      <c r="C14" s="26"/>
      <c r="D14" s="26" t="s">
        <v>351</v>
      </c>
      <c r="E14" s="26" t="s">
        <v>351</v>
      </c>
      <c r="F14" s="26" t="s">
        <v>351</v>
      </c>
      <c r="G14" s="26" t="s">
        <v>351</v>
      </c>
      <c r="H14" s="10" t="str">
        <f aca="false">IF(AND(EXACT(D14,E14),EXACT(E14,F14),EXACT(F14,G14)),"Same","DIFF")</f>
        <v>Same</v>
      </c>
    </row>
    <row r="15" customFormat="false" ht="15" hidden="false" customHeight="false" outlineLevel="0" collapsed="false">
      <c r="A15" s="26" t="s">
        <v>351</v>
      </c>
      <c r="B15" s="26" t="s">
        <v>515</v>
      </c>
      <c r="C15" s="26"/>
      <c r="D15" s="26" t="s">
        <v>137</v>
      </c>
      <c r="E15" s="26" t="s">
        <v>137</v>
      </c>
      <c r="F15" s="26" t="s">
        <v>137</v>
      </c>
      <c r="G15" s="26" t="s">
        <v>137</v>
      </c>
      <c r="H15" s="10" t="str">
        <f aca="false">IF(AND(EXACT(D15,E15),EXACT(E15,F15),EXACT(F15,G15)),"Same","DIFF")</f>
        <v>Same</v>
      </c>
    </row>
    <row r="16" customFormat="false" ht="15" hidden="false" customHeight="false" outlineLevel="0" collapsed="false">
      <c r="A16" s="26" t="s">
        <v>351</v>
      </c>
      <c r="B16" s="26" t="s">
        <v>224</v>
      </c>
      <c r="C16" s="26"/>
      <c r="D16" s="26" t="s">
        <v>137</v>
      </c>
      <c r="E16" s="26" t="s">
        <v>137</v>
      </c>
      <c r="F16" s="26" t="s">
        <v>137</v>
      </c>
      <c r="G16" s="26" t="s">
        <v>137</v>
      </c>
      <c r="H16" s="10" t="str">
        <f aca="false">IF(AND(EXACT(D16,E16),EXACT(E16,F16),EXACT(F16,G16)),"Same","DIFF")</f>
        <v>Same</v>
      </c>
    </row>
    <row r="17" customFormat="false" ht="23.85" hidden="false" customHeight="false" outlineLevel="0" collapsed="false">
      <c r="A17" s="26" t="s">
        <v>351</v>
      </c>
      <c r="B17" s="26" t="s">
        <v>516</v>
      </c>
      <c r="C17" s="26"/>
      <c r="D17" s="26" t="n">
        <f aca="false">COUNTIFS('Group Permissions'!$A$2:$A$479,$A17,'Group Permissions'!D$2:D$479,"&lt;&gt;(absent)")</f>
        <v>0</v>
      </c>
      <c r="E17" s="26" t="n">
        <f aca="false">COUNTIFS('Group Permissions'!$A$2:$A$479,$A17,'Group Permissions'!E$2:E$479,"&lt;&gt;(absent)")</f>
        <v>1</v>
      </c>
      <c r="F17" s="26" t="n">
        <f aca="false">COUNTIFS('Group Permissions'!$A$2:$A$479,$A17,'Group Permissions'!F$2:F$479,"&lt;&gt;(absent)")</f>
        <v>1</v>
      </c>
      <c r="G17" s="26" t="n">
        <f aca="false">COUNTIFS('Group Permissions'!$A$2:$A$479,$A17,'Group Permissions'!G$2:G$479,"&lt;&gt;(absent)")</f>
        <v>1</v>
      </c>
      <c r="H17" s="10" t="str">
        <f aca="false">IF(AND(EXACT(D17,E17),EXACT(E17,F17),EXACT(F17,G17)),"Same","DIFF")</f>
        <v>DIFF</v>
      </c>
    </row>
    <row r="18" customFormat="false" ht="23.85" hidden="false" customHeight="false" outlineLevel="0" collapsed="false">
      <c r="A18" s="26" t="s">
        <v>518</v>
      </c>
      <c r="B18" s="26" t="s">
        <v>514</v>
      </c>
      <c r="C18" s="26"/>
      <c r="D18" s="26" t="s">
        <v>104</v>
      </c>
      <c r="E18" s="26" t="s">
        <v>518</v>
      </c>
      <c r="F18" s="26" t="s">
        <v>518</v>
      </c>
      <c r="G18" s="26" t="s">
        <v>518</v>
      </c>
      <c r="H18" s="10" t="str">
        <f aca="false">IF(AND(EXACT(D18,E18),EXACT(E18,F18),EXACT(F18,G18)),"Same","DIFF")</f>
        <v>DIFF</v>
      </c>
    </row>
    <row r="19" customFormat="false" ht="23.85" hidden="false" customHeight="false" outlineLevel="0" collapsed="false">
      <c r="A19" s="26" t="s">
        <v>518</v>
      </c>
      <c r="B19" s="26" t="s">
        <v>515</v>
      </c>
      <c r="C19" s="26"/>
      <c r="D19" s="26" t="s">
        <v>104</v>
      </c>
      <c r="E19" s="26" t="s">
        <v>350</v>
      </c>
      <c r="F19" s="26" t="s">
        <v>350</v>
      </c>
      <c r="G19" s="26" t="s">
        <v>350</v>
      </c>
      <c r="H19" s="10" t="str">
        <f aca="false">IF(AND(EXACT(D19,E19),EXACT(E19,F19),EXACT(F19,G19)),"Same","DIFF")</f>
        <v>DIFF</v>
      </c>
    </row>
    <row r="20" customFormat="false" ht="23.85" hidden="false" customHeight="false" outlineLevel="0" collapsed="false">
      <c r="A20" s="26" t="s">
        <v>518</v>
      </c>
      <c r="B20" s="26" t="s">
        <v>224</v>
      </c>
      <c r="C20" s="26"/>
      <c r="D20" s="26" t="s">
        <v>104</v>
      </c>
      <c r="E20" s="26" t="s">
        <v>137</v>
      </c>
      <c r="F20" s="26" t="s">
        <v>137</v>
      </c>
      <c r="G20" s="26" t="s">
        <v>137</v>
      </c>
      <c r="H20" s="10" t="str">
        <f aca="false">IF(AND(EXACT(D20,E20),EXACT(E20,F20),EXACT(F20,G20)),"Same","DIFF")</f>
        <v>DIFF</v>
      </c>
    </row>
    <row r="21" customFormat="false" ht="23.85" hidden="false" customHeight="false" outlineLevel="0" collapsed="false">
      <c r="A21" s="26" t="s">
        <v>518</v>
      </c>
      <c r="B21" s="26" t="s">
        <v>516</v>
      </c>
      <c r="C21" s="26"/>
      <c r="D21" s="26" t="n">
        <f aca="false">COUNTIFS('Group Permissions'!$A$2:$A$479,$A21,'Group Permissions'!D$2:D$479,"&lt;&gt;(absent)")</f>
        <v>0</v>
      </c>
      <c r="E21" s="26" t="n">
        <f aca="false">COUNTIFS('Group Permissions'!$A$2:$A$479,$A21,'Group Permissions'!E$2:E$479,"&lt;&gt;(absent)")</f>
        <v>0</v>
      </c>
      <c r="F21" s="26" t="n">
        <f aca="false">COUNTIFS('Group Permissions'!$A$2:$A$479,$A21,'Group Permissions'!F$2:F$479,"&lt;&gt;(absent)")</f>
        <v>0</v>
      </c>
      <c r="G21" s="26" t="n">
        <f aca="false">COUNTIFS('Group Permissions'!$A$2:$A$479,$A21,'Group Permissions'!G$2:G$479,"&lt;&gt;(absent)")</f>
        <v>0</v>
      </c>
      <c r="H21" s="10" t="str">
        <f aca="false">IF(AND(EXACT(D21,E21),EXACT(E21,F21),EXACT(F21,G21)),"Same","DIFF")</f>
        <v>Same</v>
      </c>
    </row>
    <row r="22" customFormat="false" ht="15" hidden="false" customHeight="false" outlineLevel="0" collapsed="false">
      <c r="A22" s="26" t="s">
        <v>352</v>
      </c>
      <c r="B22" s="26" t="s">
        <v>514</v>
      </c>
      <c r="C22" s="26"/>
      <c r="D22" s="26" t="s">
        <v>104</v>
      </c>
      <c r="E22" s="26" t="s">
        <v>352</v>
      </c>
      <c r="F22" s="26" t="s">
        <v>352</v>
      </c>
      <c r="G22" s="26" t="s">
        <v>104</v>
      </c>
      <c r="H22" s="10" t="str">
        <f aca="false">IF(AND(EXACT(D22,E22),EXACT(E22,F22),EXACT(F22,G22)),"Same","DIFF")</f>
        <v>DIFF</v>
      </c>
    </row>
    <row r="23" customFormat="false" ht="15" hidden="false" customHeight="false" outlineLevel="0" collapsed="false">
      <c r="A23" s="26" t="s">
        <v>352</v>
      </c>
      <c r="B23" s="26" t="s">
        <v>515</v>
      </c>
      <c r="C23" s="26"/>
      <c r="D23" s="26" t="s">
        <v>104</v>
      </c>
      <c r="E23" s="26" t="s">
        <v>350</v>
      </c>
      <c r="F23" s="26" t="s">
        <v>350</v>
      </c>
      <c r="G23" s="26" t="s">
        <v>104</v>
      </c>
      <c r="H23" s="10" t="str">
        <f aca="false">IF(AND(EXACT(D23,E23),EXACT(E23,F23),EXACT(F23,G23)),"Same","DIFF")</f>
        <v>DIFF</v>
      </c>
    </row>
    <row r="24" customFormat="false" ht="15" hidden="false" customHeight="false" outlineLevel="0" collapsed="false">
      <c r="A24" s="26" t="s">
        <v>352</v>
      </c>
      <c r="B24" s="26" t="s">
        <v>224</v>
      </c>
      <c r="C24" s="26"/>
      <c r="D24" s="26" t="s">
        <v>104</v>
      </c>
      <c r="E24" s="26" t="s">
        <v>137</v>
      </c>
      <c r="F24" s="26" t="s">
        <v>137</v>
      </c>
      <c r="G24" s="26" t="s">
        <v>104</v>
      </c>
      <c r="H24" s="10" t="str">
        <f aca="false">IF(AND(EXACT(D24,E24),EXACT(E24,F24),EXACT(F24,G24)),"Same","DIFF")</f>
        <v>DIFF</v>
      </c>
    </row>
    <row r="25" customFormat="false" ht="23.85" hidden="false" customHeight="false" outlineLevel="0" collapsed="false">
      <c r="A25" s="26" t="s">
        <v>352</v>
      </c>
      <c r="B25" s="26" t="s">
        <v>516</v>
      </c>
      <c r="C25" s="26"/>
      <c r="D25" s="26" t="n">
        <f aca="false">COUNTIFS('Group Permissions'!$A$2:$A$479,$A25,'Group Permissions'!D$2:D$479,"&lt;&gt;(absent)")</f>
        <v>0</v>
      </c>
      <c r="E25" s="26" t="n">
        <f aca="false">COUNTIFS('Group Permissions'!$A$2:$A$479,$A25,'Group Permissions'!E$2:E$479,"&lt;&gt;(absent)")</f>
        <v>0</v>
      </c>
      <c r="F25" s="26" t="n">
        <f aca="false">COUNTIFS('Group Permissions'!$A$2:$A$479,$A25,'Group Permissions'!F$2:F$479,"&lt;&gt;(absent)")</f>
        <v>1</v>
      </c>
      <c r="G25" s="26" t="n">
        <f aca="false">COUNTIFS('Group Permissions'!$A$2:$A$479,$A25,'Group Permissions'!G$2:G$479,"&lt;&gt;(absent)")</f>
        <v>0</v>
      </c>
      <c r="H25" s="10" t="str">
        <f aca="false">IF(AND(EXACT(D25,E25),EXACT(E25,F25),EXACT(F25,G25)),"Same","DIFF")</f>
        <v>DIFF</v>
      </c>
    </row>
    <row r="26" customFormat="false" ht="15" hidden="false" customHeight="false" outlineLevel="0" collapsed="false">
      <c r="A26" s="26" t="s">
        <v>354</v>
      </c>
      <c r="B26" s="26" t="s">
        <v>514</v>
      </c>
      <c r="C26" s="26"/>
      <c r="D26" s="26" t="s">
        <v>354</v>
      </c>
      <c r="E26" s="26" t="s">
        <v>354</v>
      </c>
      <c r="F26" s="26" t="s">
        <v>354</v>
      </c>
      <c r="G26" s="26" t="s">
        <v>354</v>
      </c>
      <c r="H26" s="10" t="str">
        <f aca="false">IF(AND(EXACT(D26,E26),EXACT(E26,F26),EXACT(F26,G26)),"Same","DIFF")</f>
        <v>Same</v>
      </c>
    </row>
    <row r="27" customFormat="false" ht="15" hidden="false" customHeight="false" outlineLevel="0" collapsed="false">
      <c r="A27" s="26" t="s">
        <v>354</v>
      </c>
      <c r="B27" s="26" t="s">
        <v>515</v>
      </c>
      <c r="C27" s="26"/>
      <c r="D27" s="26" t="s">
        <v>137</v>
      </c>
      <c r="E27" s="26" t="s">
        <v>137</v>
      </c>
      <c r="F27" s="26" t="s">
        <v>137</v>
      </c>
      <c r="G27" s="26" t="s">
        <v>137</v>
      </c>
      <c r="H27" s="10" t="str">
        <f aca="false">IF(AND(EXACT(D27,E27),EXACT(E27,F27),EXACT(F27,G27)),"Same","DIFF")</f>
        <v>Same</v>
      </c>
    </row>
    <row r="28" customFormat="false" ht="15" hidden="false" customHeight="false" outlineLevel="0" collapsed="false">
      <c r="A28" s="26" t="s">
        <v>354</v>
      </c>
      <c r="B28" s="26" t="s">
        <v>224</v>
      </c>
      <c r="C28" s="26"/>
      <c r="D28" s="26" t="s">
        <v>519</v>
      </c>
      <c r="E28" s="26" t="s">
        <v>519</v>
      </c>
      <c r="F28" s="26" t="s">
        <v>519</v>
      </c>
      <c r="G28" s="26" t="s">
        <v>519</v>
      </c>
      <c r="H28" s="10" t="str">
        <f aca="false">IF(AND(EXACT(D28,E28),EXACT(E28,F28),EXACT(F28,G28)),"Same","DIFF")</f>
        <v>Same</v>
      </c>
    </row>
    <row r="29" customFormat="false" ht="23.85" hidden="false" customHeight="false" outlineLevel="0" collapsed="false">
      <c r="A29" s="26" t="s">
        <v>354</v>
      </c>
      <c r="B29" s="26" t="s">
        <v>516</v>
      </c>
      <c r="C29" s="26"/>
      <c r="D29" s="26" t="n">
        <f aca="false">COUNTIFS('Group Permissions'!$A$2:$A$479,$A29,'Group Permissions'!D$2:D$479,"&lt;&gt;(absent)")</f>
        <v>6</v>
      </c>
      <c r="E29" s="26" t="n">
        <f aca="false">COUNTIFS('Group Permissions'!$A$2:$A$479,$A29,'Group Permissions'!E$2:E$479,"&lt;&gt;(absent)")</f>
        <v>10</v>
      </c>
      <c r="F29" s="26" t="n">
        <f aca="false">COUNTIFS('Group Permissions'!$A$2:$A$479,$A29,'Group Permissions'!F$2:F$479,"&lt;&gt;(absent)")</f>
        <v>10</v>
      </c>
      <c r="G29" s="26" t="n">
        <f aca="false">COUNTIFS('Group Permissions'!$A$2:$A$479,$A29,'Group Permissions'!G$2:G$479,"&lt;&gt;(absent)")</f>
        <v>10</v>
      </c>
      <c r="H29" s="10" t="str">
        <f aca="false">IF(AND(EXACT(D29,E29),EXACT(E29,F29),EXACT(F29,G29)),"Same","DIFF")</f>
        <v>DIFF</v>
      </c>
    </row>
    <row r="30" customFormat="false" ht="15" hidden="false" customHeight="false" outlineLevel="0" collapsed="false">
      <c r="A30" s="26" t="s">
        <v>365</v>
      </c>
      <c r="B30" s="26" t="s">
        <v>514</v>
      </c>
      <c r="C30" s="26"/>
      <c r="D30" s="26" t="s">
        <v>365</v>
      </c>
      <c r="E30" s="26" t="s">
        <v>365</v>
      </c>
      <c r="F30" s="26" t="s">
        <v>365</v>
      </c>
      <c r="G30" s="26" t="s">
        <v>365</v>
      </c>
      <c r="H30" s="10" t="str">
        <f aca="false">IF(AND(EXACT(D30,E30),EXACT(E30,F30),EXACT(F30,G30)),"Same","DIFF")</f>
        <v>Same</v>
      </c>
    </row>
    <row r="31" customFormat="false" ht="15" hidden="false" customHeight="false" outlineLevel="0" collapsed="false">
      <c r="A31" s="26" t="s">
        <v>365</v>
      </c>
      <c r="B31" s="26" t="s">
        <v>515</v>
      </c>
      <c r="C31" s="26"/>
      <c r="D31" s="26" t="s">
        <v>137</v>
      </c>
      <c r="E31" s="26" t="s">
        <v>137</v>
      </c>
      <c r="F31" s="26" t="s">
        <v>137</v>
      </c>
      <c r="G31" s="26" t="s">
        <v>137</v>
      </c>
      <c r="H31" s="10" t="str">
        <f aca="false">IF(AND(EXACT(D31,E31),EXACT(E31,F31),EXACT(F31,G31)),"Same","DIFF")</f>
        <v>Same</v>
      </c>
    </row>
    <row r="32" customFormat="false" ht="23.85" hidden="false" customHeight="false" outlineLevel="0" collapsed="false">
      <c r="A32" s="26" t="s">
        <v>365</v>
      </c>
      <c r="B32" s="26" t="s">
        <v>224</v>
      </c>
      <c r="C32" s="26"/>
      <c r="D32" s="26" t="s">
        <v>520</v>
      </c>
      <c r="E32" s="26" t="s">
        <v>520</v>
      </c>
      <c r="F32" s="26" t="s">
        <v>520</v>
      </c>
      <c r="G32" s="26" t="s">
        <v>520</v>
      </c>
      <c r="H32" s="10" t="str">
        <f aca="false">IF(AND(EXACT(D32,E32),EXACT(E32,F32),EXACT(F32,G32)),"Same","DIFF")</f>
        <v>Same</v>
      </c>
    </row>
    <row r="33" customFormat="false" ht="23.85" hidden="false" customHeight="false" outlineLevel="0" collapsed="false">
      <c r="A33" s="26" t="s">
        <v>365</v>
      </c>
      <c r="B33" s="26" t="s">
        <v>516</v>
      </c>
      <c r="C33" s="26"/>
      <c r="D33" s="26" t="n">
        <f aca="false">COUNTIFS('Group Permissions'!$A$2:$A$479,$A33,'Group Permissions'!D$2:D$479,"&lt;&gt;(absent)")</f>
        <v>4</v>
      </c>
      <c r="E33" s="26" t="n">
        <f aca="false">COUNTIFS('Group Permissions'!$A$2:$A$479,$A33,'Group Permissions'!E$2:E$479,"&lt;&gt;(absent)")</f>
        <v>4</v>
      </c>
      <c r="F33" s="26" t="n">
        <f aca="false">COUNTIFS('Group Permissions'!$A$2:$A$479,$A33,'Group Permissions'!F$2:F$479,"&lt;&gt;(absent)")</f>
        <v>4</v>
      </c>
      <c r="G33" s="26" t="n">
        <f aca="false">COUNTIFS('Group Permissions'!$A$2:$A$479,$A33,'Group Permissions'!G$2:G$479,"&lt;&gt;(absent)")</f>
        <v>4</v>
      </c>
      <c r="H33" s="10" t="str">
        <f aca="false">IF(AND(EXACT(D33,E33),EXACT(E33,F33),EXACT(F33,G33)),"Same","DIFF")</f>
        <v>Same</v>
      </c>
    </row>
    <row r="34" customFormat="false" ht="15" hidden="false" customHeight="false" outlineLevel="0" collapsed="false">
      <c r="A34" s="26" t="s">
        <v>366</v>
      </c>
      <c r="B34" s="26" t="s">
        <v>514</v>
      </c>
      <c r="C34" s="26"/>
      <c r="D34" s="26" t="s">
        <v>366</v>
      </c>
      <c r="E34" s="26" t="s">
        <v>366</v>
      </c>
      <c r="F34" s="26" t="s">
        <v>366</v>
      </c>
      <c r="G34" s="26" t="s">
        <v>366</v>
      </c>
      <c r="H34" s="10" t="str">
        <f aca="false">IF(AND(EXACT(D34,E34),EXACT(E34,F34),EXACT(F34,G34)),"Same","DIFF")</f>
        <v>Same</v>
      </c>
    </row>
    <row r="35" customFormat="false" ht="15" hidden="false" customHeight="false" outlineLevel="0" collapsed="false">
      <c r="A35" s="26" t="s">
        <v>366</v>
      </c>
      <c r="B35" s="26" t="s">
        <v>515</v>
      </c>
      <c r="C35" s="26"/>
      <c r="D35" s="26" t="s">
        <v>137</v>
      </c>
      <c r="E35" s="26" t="s">
        <v>137</v>
      </c>
      <c r="F35" s="26" t="s">
        <v>137</v>
      </c>
      <c r="G35" s="26" t="s">
        <v>137</v>
      </c>
      <c r="H35" s="10" t="str">
        <f aca="false">IF(AND(EXACT(D35,E35),EXACT(E35,F35),EXACT(F35,G35)),"Same","DIFF")</f>
        <v>Same</v>
      </c>
    </row>
    <row r="36" customFormat="false" ht="23.85" hidden="false" customHeight="false" outlineLevel="0" collapsed="false">
      <c r="A36" s="26" t="s">
        <v>366</v>
      </c>
      <c r="B36" s="26" t="s">
        <v>224</v>
      </c>
      <c r="C36" s="26"/>
      <c r="D36" s="26" t="s">
        <v>521</v>
      </c>
      <c r="E36" s="26" t="s">
        <v>521</v>
      </c>
      <c r="F36" s="26" t="s">
        <v>521</v>
      </c>
      <c r="G36" s="26" t="s">
        <v>521</v>
      </c>
      <c r="H36" s="10" t="str">
        <f aca="false">IF(AND(EXACT(D36,E36),EXACT(E36,F36),EXACT(F36,G36)),"Same","DIFF")</f>
        <v>Same</v>
      </c>
    </row>
    <row r="37" customFormat="false" ht="23.85" hidden="false" customHeight="false" outlineLevel="0" collapsed="false">
      <c r="A37" s="26" t="s">
        <v>366</v>
      </c>
      <c r="B37" s="26" t="s">
        <v>516</v>
      </c>
      <c r="C37" s="26"/>
      <c r="D37" s="26" t="n">
        <f aca="false">COUNTIFS('Group Permissions'!$A$2:$A$479,$A37,'Group Permissions'!D$2:D$479,"&lt;&gt;(absent)")</f>
        <v>35</v>
      </c>
      <c r="E37" s="26" t="n">
        <f aca="false">COUNTIFS('Group Permissions'!$A$2:$A$479,$A37,'Group Permissions'!E$2:E$479,"&lt;&gt;(absent)")</f>
        <v>35</v>
      </c>
      <c r="F37" s="26" t="n">
        <f aca="false">COUNTIFS('Group Permissions'!$A$2:$A$479,$A37,'Group Permissions'!F$2:F$479,"&lt;&gt;(absent)")</f>
        <v>35</v>
      </c>
      <c r="G37" s="26" t="n">
        <f aca="false">COUNTIFS('Group Permissions'!$A$2:$A$479,$A37,'Group Permissions'!G$2:G$479,"&lt;&gt;(absent)")</f>
        <v>35</v>
      </c>
      <c r="H37" s="10" t="str">
        <f aca="false">IF(AND(EXACT(D37,E37),EXACT(E37,F37),EXACT(F37,G37)),"Same","DIFF")</f>
        <v>Same</v>
      </c>
    </row>
    <row r="38" customFormat="false" ht="15" hidden="false" customHeight="false" outlineLevel="0" collapsed="false">
      <c r="A38" s="26" t="s">
        <v>388</v>
      </c>
      <c r="B38" s="26" t="s">
        <v>514</v>
      </c>
      <c r="C38" s="26"/>
      <c r="D38" s="26" t="s">
        <v>388</v>
      </c>
      <c r="E38" s="26" t="s">
        <v>388</v>
      </c>
      <c r="F38" s="26" t="s">
        <v>388</v>
      </c>
      <c r="G38" s="26" t="s">
        <v>388</v>
      </c>
      <c r="H38" s="10" t="str">
        <f aca="false">IF(AND(EXACT(D38,E38),EXACT(E38,F38),EXACT(F38,G38)),"Same","DIFF")</f>
        <v>Same</v>
      </c>
    </row>
    <row r="39" customFormat="false" ht="15" hidden="false" customHeight="false" outlineLevel="0" collapsed="false">
      <c r="A39" s="26" t="s">
        <v>388</v>
      </c>
      <c r="B39" s="26" t="s">
        <v>515</v>
      </c>
      <c r="C39" s="26"/>
      <c r="D39" s="26" t="s">
        <v>137</v>
      </c>
      <c r="E39" s="26" t="s">
        <v>318</v>
      </c>
      <c r="F39" s="26" t="s">
        <v>318</v>
      </c>
      <c r="G39" s="26" t="s">
        <v>318</v>
      </c>
      <c r="H39" s="10" t="str">
        <f aca="false">IF(AND(EXACT(D39,E39),EXACT(E39,F39),EXACT(F39,G39)),"Same","DIFF")</f>
        <v>DIFF</v>
      </c>
    </row>
    <row r="40" customFormat="false" ht="15" hidden="false" customHeight="false" outlineLevel="0" collapsed="false">
      <c r="A40" s="26" t="s">
        <v>388</v>
      </c>
      <c r="B40" s="26" t="s">
        <v>224</v>
      </c>
      <c r="C40" s="26"/>
      <c r="D40" s="26" t="s">
        <v>522</v>
      </c>
      <c r="E40" s="26" t="s">
        <v>523</v>
      </c>
      <c r="F40" s="26" t="s">
        <v>523</v>
      </c>
      <c r="G40" s="26" t="s">
        <v>523</v>
      </c>
      <c r="H40" s="10" t="str">
        <f aca="false">IF(AND(EXACT(D40,E40),EXACT(E40,F40),EXACT(F40,G40)),"Same","DIFF")</f>
        <v>DIFF</v>
      </c>
    </row>
    <row r="41" customFormat="false" ht="23.85" hidden="false" customHeight="false" outlineLevel="0" collapsed="false">
      <c r="A41" s="26" t="s">
        <v>388</v>
      </c>
      <c r="B41" s="26" t="s">
        <v>516</v>
      </c>
      <c r="C41" s="26"/>
      <c r="D41" s="26" t="n">
        <f aca="false">COUNTIFS('Group Permissions'!$A$2:$A$479,$A41,'Group Permissions'!D$2:D$479,"&lt;&gt;(absent)")</f>
        <v>0</v>
      </c>
      <c r="E41" s="26" t="n">
        <f aca="false">COUNTIFS('Group Permissions'!$A$2:$A$479,$A41,'Group Permissions'!E$2:E$479,"&lt;&gt;(absent)")</f>
        <v>1</v>
      </c>
      <c r="F41" s="26" t="n">
        <f aca="false">COUNTIFS('Group Permissions'!$A$2:$A$479,$A41,'Group Permissions'!F$2:F$479,"&lt;&gt;(absent)")</f>
        <v>8</v>
      </c>
      <c r="G41" s="26" t="n">
        <f aca="false">COUNTIFS('Group Permissions'!$A$2:$A$479,$A41,'Group Permissions'!G$2:G$479,"&lt;&gt;(absent)")</f>
        <v>8</v>
      </c>
      <c r="H41" s="10" t="str">
        <f aca="false">IF(AND(EXACT(D41,E41),EXACT(E41,F41),EXACT(F41,G41)),"Same","DIFF")</f>
        <v>DIFF</v>
      </c>
    </row>
    <row r="42" customFormat="false" ht="15" hidden="false" customHeight="false" outlineLevel="0" collapsed="false">
      <c r="A42" s="26" t="s">
        <v>524</v>
      </c>
      <c r="B42" s="26" t="s">
        <v>514</v>
      </c>
      <c r="C42" s="26"/>
      <c r="D42" s="26" t="s">
        <v>104</v>
      </c>
      <c r="E42" s="26" t="s">
        <v>524</v>
      </c>
      <c r="F42" s="26" t="s">
        <v>104</v>
      </c>
      <c r="G42" s="26" t="s">
        <v>104</v>
      </c>
      <c r="H42" s="10" t="str">
        <f aca="false">IF(AND(EXACT(D42,E42),EXACT(E42,F42),EXACT(F42,G42)),"Same","DIFF")</f>
        <v>DIFF</v>
      </c>
    </row>
    <row r="43" customFormat="false" ht="15" hidden="false" customHeight="false" outlineLevel="0" collapsed="false">
      <c r="A43" s="26" t="s">
        <v>524</v>
      </c>
      <c r="B43" s="26" t="s">
        <v>515</v>
      </c>
      <c r="C43" s="26"/>
      <c r="D43" s="26" t="s">
        <v>104</v>
      </c>
      <c r="E43" s="26" t="s">
        <v>318</v>
      </c>
      <c r="F43" s="26" t="s">
        <v>104</v>
      </c>
      <c r="G43" s="26" t="s">
        <v>104</v>
      </c>
      <c r="H43" s="10" t="str">
        <f aca="false">IF(AND(EXACT(D43,E43),EXACT(E43,F43),EXACT(F43,G43)),"Same","DIFF")</f>
        <v>DIFF</v>
      </c>
    </row>
    <row r="44" customFormat="false" ht="15" hidden="false" customHeight="false" outlineLevel="0" collapsed="false">
      <c r="A44" s="26" t="s">
        <v>524</v>
      </c>
      <c r="B44" s="26" t="s">
        <v>224</v>
      </c>
      <c r="C44" s="26"/>
      <c r="D44" s="26" t="s">
        <v>104</v>
      </c>
      <c r="E44" s="26" t="s">
        <v>525</v>
      </c>
      <c r="F44" s="26" t="s">
        <v>104</v>
      </c>
      <c r="G44" s="26" t="s">
        <v>104</v>
      </c>
      <c r="H44" s="10" t="str">
        <f aca="false">IF(AND(EXACT(D44,E44),EXACT(E44,F44),EXACT(F44,G44)),"Same","DIFF")</f>
        <v>DIFF</v>
      </c>
    </row>
    <row r="45" customFormat="false" ht="23.85" hidden="false" customHeight="false" outlineLevel="0" collapsed="false">
      <c r="A45" s="26" t="s">
        <v>524</v>
      </c>
      <c r="B45" s="26" t="s">
        <v>516</v>
      </c>
      <c r="C45" s="26"/>
      <c r="D45" s="26" t="n">
        <f aca="false">COUNTIFS('Group Permissions'!$A$2:$A$479,$A45,'Group Permissions'!D$2:D$479,"&lt;&gt;(absent)")</f>
        <v>0</v>
      </c>
      <c r="E45" s="26" t="n">
        <f aca="false">COUNTIFS('Group Permissions'!$A$2:$A$479,$A45,'Group Permissions'!E$2:E$479,"&lt;&gt;(absent)")</f>
        <v>0</v>
      </c>
      <c r="F45" s="26" t="n">
        <f aca="false">COUNTIFS('Group Permissions'!$A$2:$A$479,$A45,'Group Permissions'!F$2:F$479,"&lt;&gt;(absent)")</f>
        <v>0</v>
      </c>
      <c r="G45" s="26" t="n">
        <f aca="false">COUNTIFS('Group Permissions'!$A$2:$A$479,$A45,'Group Permissions'!G$2:G$479,"&lt;&gt;(absent)")</f>
        <v>0</v>
      </c>
      <c r="H45" s="10" t="str">
        <f aca="false">IF(AND(EXACT(D45,E45),EXACT(E45,F45),EXACT(F45,G45)),"Same","DIFF")</f>
        <v>Same</v>
      </c>
    </row>
    <row r="46" customFormat="false" ht="15" hidden="false" customHeight="false" outlineLevel="0" collapsed="false">
      <c r="A46" s="26" t="s">
        <v>390</v>
      </c>
      <c r="B46" s="26" t="s">
        <v>514</v>
      </c>
      <c r="C46" s="26"/>
      <c r="D46" s="26" t="s">
        <v>390</v>
      </c>
      <c r="E46" s="26" t="s">
        <v>104</v>
      </c>
      <c r="F46" s="26" t="s">
        <v>104</v>
      </c>
      <c r="G46" s="26" t="s">
        <v>104</v>
      </c>
      <c r="H46" s="10" t="str">
        <f aca="false">IF(AND(EXACT(D46,E46),EXACT(E46,F46),EXACT(F46,G46)),"Same","DIFF")</f>
        <v>DIFF</v>
      </c>
    </row>
    <row r="47" customFormat="false" ht="15" hidden="false" customHeight="false" outlineLevel="0" collapsed="false">
      <c r="A47" s="26" t="s">
        <v>390</v>
      </c>
      <c r="B47" s="26" t="s">
        <v>515</v>
      </c>
      <c r="C47" s="26"/>
      <c r="D47" s="26" t="s">
        <v>350</v>
      </c>
      <c r="E47" s="26" t="s">
        <v>104</v>
      </c>
      <c r="F47" s="26" t="s">
        <v>104</v>
      </c>
      <c r="G47" s="26" t="s">
        <v>104</v>
      </c>
      <c r="H47" s="10" t="str">
        <f aca="false">IF(AND(EXACT(D47,E47),EXACT(E47,F47),EXACT(F47,G47)),"Same","DIFF")</f>
        <v>DIFF</v>
      </c>
    </row>
    <row r="48" customFormat="false" ht="15" hidden="false" customHeight="false" outlineLevel="0" collapsed="false">
      <c r="A48" s="26" t="s">
        <v>390</v>
      </c>
      <c r="B48" s="26" t="s">
        <v>224</v>
      </c>
      <c r="C48" s="26"/>
      <c r="D48" s="26" t="s">
        <v>137</v>
      </c>
      <c r="E48" s="26" t="s">
        <v>104</v>
      </c>
      <c r="F48" s="26" t="s">
        <v>104</v>
      </c>
      <c r="G48" s="26" t="s">
        <v>104</v>
      </c>
      <c r="H48" s="10" t="str">
        <f aca="false">IF(AND(EXACT(D48,E48),EXACT(E48,F48),EXACT(F48,G48)),"Same","DIFF")</f>
        <v>DIFF</v>
      </c>
    </row>
    <row r="49" customFormat="false" ht="23.85" hidden="false" customHeight="false" outlineLevel="0" collapsed="false">
      <c r="A49" s="26" t="s">
        <v>390</v>
      </c>
      <c r="B49" s="26" t="s">
        <v>516</v>
      </c>
      <c r="C49" s="26"/>
      <c r="D49" s="26" t="n">
        <f aca="false">COUNTIFS('Group Permissions'!$A$2:$A$479,$A49,'Group Permissions'!D$2:D$479,"&lt;&gt;(absent)")</f>
        <v>24</v>
      </c>
      <c r="E49" s="26" t="n">
        <f aca="false">COUNTIFS('Group Permissions'!$A$2:$A$479,$A49,'Group Permissions'!E$2:E$479,"&lt;&gt;(absent)")</f>
        <v>0</v>
      </c>
      <c r="F49" s="26" t="n">
        <f aca="false">COUNTIFS('Group Permissions'!$A$2:$A$479,$A49,'Group Permissions'!F$2:F$479,"&lt;&gt;(absent)")</f>
        <v>0</v>
      </c>
      <c r="G49" s="26" t="n">
        <f aca="false">COUNTIFS('Group Permissions'!$A$2:$A$479,$A49,'Group Permissions'!G$2:G$479,"&lt;&gt;(absent)")</f>
        <v>0</v>
      </c>
      <c r="H49" s="10" t="str">
        <f aca="false">IF(AND(EXACT(D49,E49),EXACT(E49,F49),EXACT(F49,G49)),"Same","DIFF")</f>
        <v>DIFF</v>
      </c>
    </row>
    <row r="50" customFormat="false" ht="15" hidden="false" customHeight="false" outlineLevel="0" collapsed="false">
      <c r="A50" s="26" t="s">
        <v>392</v>
      </c>
      <c r="B50" s="26" t="s">
        <v>514</v>
      </c>
      <c r="C50" s="26"/>
      <c r="D50" s="26" t="s">
        <v>392</v>
      </c>
      <c r="E50" s="26" t="s">
        <v>392</v>
      </c>
      <c r="F50" s="26" t="s">
        <v>392</v>
      </c>
      <c r="G50" s="26" t="s">
        <v>392</v>
      </c>
      <c r="H50" s="10" t="str">
        <f aca="false">IF(AND(EXACT(D50,E50),EXACT(E50,F50),EXACT(F50,G50)),"Same","DIFF")</f>
        <v>Same</v>
      </c>
    </row>
    <row r="51" customFormat="false" ht="15" hidden="false" customHeight="false" outlineLevel="0" collapsed="false">
      <c r="A51" s="26" t="s">
        <v>392</v>
      </c>
      <c r="B51" s="26" t="s">
        <v>515</v>
      </c>
      <c r="C51" s="26"/>
      <c r="D51" s="26" t="s">
        <v>137</v>
      </c>
      <c r="E51" s="26" t="s">
        <v>318</v>
      </c>
      <c r="F51" s="26" t="s">
        <v>318</v>
      </c>
      <c r="G51" s="26" t="s">
        <v>318</v>
      </c>
      <c r="H51" s="10" t="str">
        <f aca="false">IF(AND(EXACT(D51,E51),EXACT(E51,F51),EXACT(F51,G51)),"Same","DIFF")</f>
        <v>DIFF</v>
      </c>
    </row>
    <row r="52" customFormat="false" ht="15" hidden="false" customHeight="false" outlineLevel="0" collapsed="false">
      <c r="A52" s="26" t="s">
        <v>392</v>
      </c>
      <c r="B52" s="26" t="s">
        <v>224</v>
      </c>
      <c r="C52" s="26"/>
      <c r="D52" s="26" t="s">
        <v>526</v>
      </c>
      <c r="E52" s="26" t="s">
        <v>527</v>
      </c>
      <c r="F52" s="26" t="s">
        <v>527</v>
      </c>
      <c r="G52" s="26" t="s">
        <v>527</v>
      </c>
      <c r="H52" s="10" t="str">
        <f aca="false">IF(AND(EXACT(D52,E52),EXACT(E52,F52),EXACT(F52,G52)),"Same","DIFF")</f>
        <v>DIFF</v>
      </c>
    </row>
    <row r="53" customFormat="false" ht="23.85" hidden="false" customHeight="false" outlineLevel="0" collapsed="false">
      <c r="A53" s="26" t="s">
        <v>392</v>
      </c>
      <c r="B53" s="26" t="s">
        <v>516</v>
      </c>
      <c r="C53" s="26"/>
      <c r="D53" s="26" t="n">
        <f aca="false">COUNTIFS('Group Permissions'!$A$2:$A$479,$A53,'Group Permissions'!D$2:D$479,"&lt;&gt;(absent)")</f>
        <v>0</v>
      </c>
      <c r="E53" s="26" t="n">
        <f aca="false">COUNTIFS('Group Permissions'!$A$2:$A$479,$A53,'Group Permissions'!E$2:E$479,"&lt;&gt;(absent)")</f>
        <v>1</v>
      </c>
      <c r="F53" s="26" t="n">
        <f aca="false">COUNTIFS('Group Permissions'!$A$2:$A$479,$A53,'Group Permissions'!F$2:F$479,"&lt;&gt;(absent)")</f>
        <v>7</v>
      </c>
      <c r="G53" s="26" t="n">
        <f aca="false">COUNTIFS('Group Permissions'!$A$2:$A$479,$A53,'Group Permissions'!G$2:G$479,"&lt;&gt;(absent)")</f>
        <v>7</v>
      </c>
      <c r="H53" s="10" t="str">
        <f aca="false">IF(AND(EXACT(D53,E53),EXACT(E53,F53),EXACT(F53,G53)),"Same","DIFF")</f>
        <v>DIFF</v>
      </c>
    </row>
    <row r="54" customFormat="false" ht="15" hidden="false" customHeight="false" outlineLevel="0" collapsed="false">
      <c r="A54" s="26" t="s">
        <v>393</v>
      </c>
      <c r="B54" s="26" t="s">
        <v>514</v>
      </c>
      <c r="C54" s="26"/>
      <c r="D54" s="26" t="s">
        <v>393</v>
      </c>
      <c r="E54" s="26" t="s">
        <v>393</v>
      </c>
      <c r="F54" s="26" t="s">
        <v>393</v>
      </c>
      <c r="G54" s="26" t="s">
        <v>393</v>
      </c>
      <c r="H54" s="10" t="str">
        <f aca="false">IF(AND(EXACT(D54,E54),EXACT(E54,F54),EXACT(F54,G54)),"Same","DIFF")</f>
        <v>Same</v>
      </c>
    </row>
    <row r="55" customFormat="false" ht="15" hidden="false" customHeight="false" outlineLevel="0" collapsed="false">
      <c r="A55" s="26" t="s">
        <v>393</v>
      </c>
      <c r="B55" s="26" t="s">
        <v>515</v>
      </c>
      <c r="C55" s="26"/>
      <c r="D55" s="26" t="s">
        <v>137</v>
      </c>
      <c r="E55" s="26" t="s">
        <v>137</v>
      </c>
      <c r="F55" s="26" t="s">
        <v>137</v>
      </c>
      <c r="G55" s="26" t="s">
        <v>137</v>
      </c>
      <c r="H55" s="10" t="str">
        <f aca="false">IF(AND(EXACT(D55,E55),EXACT(E55,F55),EXACT(F55,G55)),"Same","DIFF")</f>
        <v>Same</v>
      </c>
    </row>
    <row r="56" customFormat="false" ht="23.85" hidden="false" customHeight="false" outlineLevel="0" collapsed="false">
      <c r="A56" s="26" t="s">
        <v>393</v>
      </c>
      <c r="B56" s="26" t="s">
        <v>224</v>
      </c>
      <c r="C56" s="26"/>
      <c r="D56" s="26" t="s">
        <v>528</v>
      </c>
      <c r="E56" s="26" t="s">
        <v>529</v>
      </c>
      <c r="F56" s="26" t="s">
        <v>528</v>
      </c>
      <c r="G56" s="26" t="s">
        <v>528</v>
      </c>
      <c r="H56" s="10" t="str">
        <f aca="false">IF(AND(EXACT(D56,E56),EXACT(E56,F56),EXACT(F56,G56)),"Same","DIFF")</f>
        <v>DIFF</v>
      </c>
    </row>
    <row r="57" customFormat="false" ht="23.85" hidden="false" customHeight="false" outlineLevel="0" collapsed="false">
      <c r="A57" s="26" t="s">
        <v>393</v>
      </c>
      <c r="B57" s="26" t="s">
        <v>516</v>
      </c>
      <c r="C57" s="26"/>
      <c r="D57" s="26" t="n">
        <f aca="false">COUNTIFS('Group Permissions'!$A$2:$A$479,$A57,'Group Permissions'!D$2:D$479,"&lt;&gt;(absent)")</f>
        <v>41</v>
      </c>
      <c r="E57" s="26" t="n">
        <f aca="false">COUNTIFS('Group Permissions'!$A$2:$A$479,$A57,'Group Permissions'!E$2:E$479,"&lt;&gt;(absent)")</f>
        <v>47</v>
      </c>
      <c r="F57" s="26" t="n">
        <f aca="false">COUNTIFS('Group Permissions'!$A$2:$A$479,$A57,'Group Permissions'!F$2:F$479,"&lt;&gt;(absent)")</f>
        <v>48</v>
      </c>
      <c r="G57" s="26" t="n">
        <f aca="false">COUNTIFS('Group Permissions'!$A$2:$A$479,$A57,'Group Permissions'!G$2:G$479,"&lt;&gt;(absent)")</f>
        <v>45</v>
      </c>
      <c r="H57" s="10" t="str">
        <f aca="false">IF(AND(EXACT(D57,E57),EXACT(E57,F57),EXACT(F57,G57)),"Same","DIFF")</f>
        <v>DIFF</v>
      </c>
    </row>
    <row r="58" customFormat="false" ht="15" hidden="false" customHeight="false" outlineLevel="0" collapsed="false">
      <c r="A58" s="26" t="s">
        <v>427</v>
      </c>
      <c r="B58" s="26" t="s">
        <v>514</v>
      </c>
      <c r="C58" s="26"/>
      <c r="D58" s="26" t="s">
        <v>427</v>
      </c>
      <c r="E58" s="26" t="s">
        <v>427</v>
      </c>
      <c r="F58" s="26" t="s">
        <v>427</v>
      </c>
      <c r="G58" s="26" t="s">
        <v>427</v>
      </c>
      <c r="H58" s="10" t="str">
        <f aca="false">IF(AND(EXACT(D58,E58),EXACT(E58,F58),EXACT(F58,G58)),"Same","DIFF")</f>
        <v>Same</v>
      </c>
    </row>
    <row r="59" customFormat="false" ht="15" hidden="false" customHeight="false" outlineLevel="0" collapsed="false">
      <c r="A59" s="26" t="s">
        <v>427</v>
      </c>
      <c r="B59" s="26" t="s">
        <v>515</v>
      </c>
      <c r="C59" s="26"/>
      <c r="D59" s="26" t="s">
        <v>137</v>
      </c>
      <c r="E59" s="26" t="s">
        <v>137</v>
      </c>
      <c r="F59" s="26" t="s">
        <v>137</v>
      </c>
      <c r="G59" s="26" t="s">
        <v>137</v>
      </c>
      <c r="H59" s="10" t="str">
        <f aca="false">IF(AND(EXACT(D59,E59),EXACT(E59,F59),EXACT(F59,G59)),"Same","DIFF")</f>
        <v>Same</v>
      </c>
    </row>
    <row r="60" customFormat="false" ht="15" hidden="false" customHeight="false" outlineLevel="0" collapsed="false">
      <c r="A60" s="26" t="s">
        <v>427</v>
      </c>
      <c r="B60" s="26" t="s">
        <v>224</v>
      </c>
      <c r="C60" s="26"/>
      <c r="D60" s="26" t="s">
        <v>530</v>
      </c>
      <c r="E60" s="26" t="s">
        <v>530</v>
      </c>
      <c r="F60" s="26" t="s">
        <v>531</v>
      </c>
      <c r="G60" s="26" t="s">
        <v>530</v>
      </c>
      <c r="H60" s="10" t="str">
        <f aca="false">IF(AND(EXACT(D60,E60),EXACT(E60,F60),EXACT(F60,G60)),"Same","DIFF")</f>
        <v>DIFF</v>
      </c>
    </row>
    <row r="61" customFormat="false" ht="23.85" hidden="false" customHeight="false" outlineLevel="0" collapsed="false">
      <c r="A61" s="26" t="s">
        <v>427</v>
      </c>
      <c r="B61" s="26" t="s">
        <v>516</v>
      </c>
      <c r="C61" s="26"/>
      <c r="D61" s="26" t="n">
        <f aca="false">COUNTIFS('Group Permissions'!$A$2:$A$479,$A61,'Group Permissions'!D$2:D$479,"&lt;&gt;(absent)")</f>
        <v>44</v>
      </c>
      <c r="E61" s="26" t="n">
        <f aca="false">COUNTIFS('Group Permissions'!$A$2:$A$479,$A61,'Group Permissions'!E$2:E$479,"&lt;&gt;(absent)")</f>
        <v>38</v>
      </c>
      <c r="F61" s="26" t="n">
        <f aca="false">COUNTIFS('Group Permissions'!$A$2:$A$479,$A61,'Group Permissions'!F$2:F$479,"&lt;&gt;(absent)")</f>
        <v>41</v>
      </c>
      <c r="G61" s="26" t="n">
        <f aca="false">COUNTIFS('Group Permissions'!$A$2:$A$479,$A61,'Group Permissions'!G$2:G$479,"&lt;&gt;(absent)")</f>
        <v>36</v>
      </c>
      <c r="H61" s="10" t="str">
        <f aca="false">IF(AND(EXACT(D61,E61),EXACT(E61,F61),EXACT(F61,G61)),"Same","DIFF")</f>
        <v>DIFF</v>
      </c>
    </row>
    <row r="62" customFormat="false" ht="15" hidden="false" customHeight="false" outlineLevel="0" collapsed="false">
      <c r="A62" s="26" t="s">
        <v>435</v>
      </c>
      <c r="B62" s="26" t="s">
        <v>514</v>
      </c>
      <c r="C62" s="26"/>
      <c r="D62" s="26" t="s">
        <v>435</v>
      </c>
      <c r="E62" s="26" t="s">
        <v>435</v>
      </c>
      <c r="F62" s="26" t="s">
        <v>532</v>
      </c>
      <c r="G62" s="26" t="s">
        <v>532</v>
      </c>
      <c r="H62" s="10" t="str">
        <f aca="false">IF(AND(EXACT(D62,E62),EXACT(E62,F62),EXACT(F62,G62)),"Same","DIFF")</f>
        <v>DIFF</v>
      </c>
    </row>
    <row r="63" customFormat="false" ht="15" hidden="false" customHeight="false" outlineLevel="0" collapsed="false">
      <c r="A63" s="26" t="s">
        <v>435</v>
      </c>
      <c r="B63" s="26" t="s">
        <v>515</v>
      </c>
      <c r="C63" s="26"/>
      <c r="D63" s="26" t="s">
        <v>137</v>
      </c>
      <c r="E63" s="26" t="s">
        <v>137</v>
      </c>
      <c r="F63" s="26" t="s">
        <v>137</v>
      </c>
      <c r="G63" s="26" t="s">
        <v>137</v>
      </c>
      <c r="H63" s="10" t="str">
        <f aca="false">IF(AND(EXACT(D63,E63),EXACT(E63,F63),EXACT(F63,G63)),"Same","DIFF")</f>
        <v>Same</v>
      </c>
    </row>
    <row r="64" customFormat="false" ht="15" hidden="false" customHeight="false" outlineLevel="0" collapsed="false">
      <c r="A64" s="26" t="s">
        <v>435</v>
      </c>
      <c r="B64" s="26" t="s">
        <v>224</v>
      </c>
      <c r="C64" s="26"/>
      <c r="D64" s="26" t="s">
        <v>533</v>
      </c>
      <c r="E64" s="26" t="s">
        <v>533</v>
      </c>
      <c r="F64" s="26" t="s">
        <v>534</v>
      </c>
      <c r="G64" s="26" t="s">
        <v>533</v>
      </c>
      <c r="H64" s="10" t="str">
        <f aca="false">IF(AND(EXACT(D64,E64),EXACT(E64,F64),EXACT(F64,G64)),"Same","DIFF")</f>
        <v>DIFF</v>
      </c>
    </row>
    <row r="65" customFormat="false" ht="23.85" hidden="false" customHeight="false" outlineLevel="0" collapsed="false">
      <c r="A65" s="26" t="s">
        <v>435</v>
      </c>
      <c r="B65" s="26" t="s">
        <v>516</v>
      </c>
      <c r="C65" s="26"/>
      <c r="D65" s="26" t="n">
        <f aca="false">COUNTIFS('Group Permissions'!$A$2:$A$479,$A65,'Group Permissions'!D$2:D$479,"&lt;&gt;(absent)")</f>
        <v>20</v>
      </c>
      <c r="E65" s="26" t="n">
        <f aca="false">COUNTIFS('Group Permissions'!$A$2:$A$479,$A65,'Group Permissions'!E$2:E$479,"&lt;&gt;(absent)")</f>
        <v>22</v>
      </c>
      <c r="F65" s="26" t="n">
        <f aca="false">COUNTIFS('Group Permissions'!$A$2:$A$479,$A65,'Group Permissions'!F$2:F$479,"&lt;&gt;(absent)")</f>
        <v>31</v>
      </c>
      <c r="G65" s="26" t="n">
        <f aca="false">COUNTIFS('Group Permissions'!$A$2:$A$479,$A65,'Group Permissions'!G$2:G$479,"&lt;&gt;(absent)")</f>
        <v>33</v>
      </c>
      <c r="H65" s="10" t="str">
        <f aca="false">IF(AND(EXACT(D65,E65),EXACT(E65,F65),EXACT(F65,G65)),"Same","DIFF")</f>
        <v>DIFF</v>
      </c>
    </row>
    <row r="66" customFormat="false" ht="15" hidden="false" customHeight="false" outlineLevel="0" collapsed="false">
      <c r="A66" s="26" t="s">
        <v>438</v>
      </c>
      <c r="B66" s="26" t="s">
        <v>514</v>
      </c>
      <c r="C66" s="26"/>
      <c r="D66" s="26" t="s">
        <v>438</v>
      </c>
      <c r="E66" s="26" t="s">
        <v>438</v>
      </c>
      <c r="F66" s="26" t="s">
        <v>438</v>
      </c>
      <c r="G66" s="26" t="s">
        <v>438</v>
      </c>
      <c r="H66" s="10" t="str">
        <f aca="false">IF(AND(EXACT(D66,E66),EXACT(E66,F66),EXACT(F66,G66)),"Same","DIFF")</f>
        <v>Same</v>
      </c>
    </row>
    <row r="67" customFormat="false" ht="15" hidden="false" customHeight="false" outlineLevel="0" collapsed="false">
      <c r="A67" s="26" t="s">
        <v>438</v>
      </c>
      <c r="B67" s="26" t="s">
        <v>515</v>
      </c>
      <c r="C67" s="26"/>
      <c r="D67" s="26" t="s">
        <v>137</v>
      </c>
      <c r="E67" s="26" t="s">
        <v>137</v>
      </c>
      <c r="F67" s="26" t="s">
        <v>137</v>
      </c>
      <c r="G67" s="26" t="s">
        <v>137</v>
      </c>
      <c r="H67" s="10" t="str">
        <f aca="false">IF(AND(EXACT(D67,E67),EXACT(E67,F67),EXACT(F67,G67)),"Same","DIFF")</f>
        <v>Same</v>
      </c>
    </row>
    <row r="68" customFormat="false" ht="15" hidden="false" customHeight="false" outlineLevel="0" collapsed="false">
      <c r="A68" s="26" t="s">
        <v>438</v>
      </c>
      <c r="B68" s="26" t="s">
        <v>224</v>
      </c>
      <c r="C68" s="26"/>
      <c r="D68" s="26" t="s">
        <v>535</v>
      </c>
      <c r="E68" s="26" t="s">
        <v>535</v>
      </c>
      <c r="F68" s="26" t="s">
        <v>536</v>
      </c>
      <c r="G68" s="26" t="s">
        <v>535</v>
      </c>
      <c r="H68" s="10" t="str">
        <f aca="false">IF(AND(EXACT(D68,E68),EXACT(E68,F68),EXACT(F68,G68)),"Same","DIFF")</f>
        <v>DIFF</v>
      </c>
    </row>
    <row r="69" customFormat="false" ht="23.85" hidden="false" customHeight="false" outlineLevel="0" collapsed="false">
      <c r="A69" s="26" t="s">
        <v>438</v>
      </c>
      <c r="B69" s="26" t="s">
        <v>516</v>
      </c>
      <c r="C69" s="26"/>
      <c r="D69" s="26" t="n">
        <f aca="false">COUNTIFS('Group Permissions'!$A$2:$A$479,$A69,'Group Permissions'!D$2:D$479,"&lt;&gt;(absent)")</f>
        <v>78</v>
      </c>
      <c r="E69" s="26" t="n">
        <f aca="false">COUNTIFS('Group Permissions'!$A$2:$A$479,$A69,'Group Permissions'!E$2:E$479,"&lt;&gt;(absent)")</f>
        <v>91</v>
      </c>
      <c r="F69" s="26" t="n">
        <f aca="false">COUNTIFS('Group Permissions'!$A$2:$A$479,$A69,'Group Permissions'!F$2:F$479,"&lt;&gt;(absent)")</f>
        <v>33</v>
      </c>
      <c r="G69" s="26" t="n">
        <f aca="false">COUNTIFS('Group Permissions'!$A$2:$A$479,$A69,'Group Permissions'!G$2:G$479,"&lt;&gt;(absent)")</f>
        <v>34</v>
      </c>
      <c r="H69" s="10" t="str">
        <f aca="false">IF(AND(EXACT(D69,E69),EXACT(E69,F69),EXACT(F69,G69)),"Same","DIFF")</f>
        <v>DIFF</v>
      </c>
    </row>
    <row r="70" customFormat="false" ht="15" hidden="false" customHeight="false" outlineLevel="0" collapsed="false">
      <c r="A70" s="26" t="s">
        <v>493</v>
      </c>
      <c r="B70" s="26" t="s">
        <v>514</v>
      </c>
      <c r="C70" s="26"/>
      <c r="D70" s="26" t="s">
        <v>493</v>
      </c>
      <c r="E70" s="26" t="s">
        <v>493</v>
      </c>
      <c r="F70" s="26" t="s">
        <v>493</v>
      </c>
      <c r="G70" s="26" t="s">
        <v>493</v>
      </c>
      <c r="H70" s="10" t="str">
        <f aca="false">IF(AND(EXACT(D70,E70),EXACT(E70,F70),EXACT(F70,G70)),"Same","DIFF")</f>
        <v>Same</v>
      </c>
    </row>
    <row r="71" customFormat="false" ht="15" hidden="false" customHeight="false" outlineLevel="0" collapsed="false">
      <c r="A71" s="26" t="s">
        <v>493</v>
      </c>
      <c r="B71" s="26" t="s">
        <v>515</v>
      </c>
      <c r="C71" s="26"/>
      <c r="D71" s="26" t="s">
        <v>137</v>
      </c>
      <c r="E71" s="26" t="s">
        <v>137</v>
      </c>
      <c r="F71" s="26" t="s">
        <v>137</v>
      </c>
      <c r="G71" s="26" t="s">
        <v>137</v>
      </c>
      <c r="H71" s="10" t="str">
        <f aca="false">IF(AND(EXACT(D71,E71),EXACT(E71,F71),EXACT(F71,G71)),"Same","DIFF")</f>
        <v>Same</v>
      </c>
    </row>
    <row r="72" customFormat="false" ht="15" hidden="false" customHeight="false" outlineLevel="0" collapsed="false">
      <c r="A72" s="26" t="s">
        <v>493</v>
      </c>
      <c r="B72" s="26" t="s">
        <v>224</v>
      </c>
      <c r="C72" s="26"/>
      <c r="D72" s="26" t="s">
        <v>537</v>
      </c>
      <c r="E72" s="26" t="s">
        <v>537</v>
      </c>
      <c r="F72" s="26" t="s">
        <v>538</v>
      </c>
      <c r="G72" s="26" t="s">
        <v>537</v>
      </c>
      <c r="H72" s="10" t="str">
        <f aca="false">IF(AND(EXACT(D72,E72),EXACT(E72,F72),EXACT(F72,G72)),"Same","DIFF")</f>
        <v>DIFF</v>
      </c>
    </row>
    <row r="73" customFormat="false" ht="23.85" hidden="false" customHeight="false" outlineLevel="0" collapsed="false">
      <c r="A73" s="26" t="s">
        <v>493</v>
      </c>
      <c r="B73" s="26" t="s">
        <v>516</v>
      </c>
      <c r="C73" s="26"/>
      <c r="D73" s="26" t="n">
        <f aca="false">COUNTIFS('Group Permissions'!$A$2:$A$479,$A73,'Group Permissions'!D$2:D$479,"&lt;&gt;(absent)")</f>
        <v>35</v>
      </c>
      <c r="E73" s="26" t="n">
        <f aca="false">COUNTIFS('Group Permissions'!$A$2:$A$479,$A73,'Group Permissions'!E$2:E$479,"&lt;&gt;(absent)")</f>
        <v>31</v>
      </c>
      <c r="F73" s="26" t="n">
        <f aca="false">COUNTIFS('Group Permissions'!$A$2:$A$479,$A73,'Group Permissions'!F$2:F$479,"&lt;&gt;(absent)")</f>
        <v>28</v>
      </c>
      <c r="G73" s="26" t="n">
        <f aca="false">COUNTIFS('Group Permissions'!$A$2:$A$479,$A73,'Group Permissions'!G$2:G$479,"&lt;&gt;(absent)")</f>
        <v>29</v>
      </c>
      <c r="H73" s="10" t="str">
        <f aca="false">IF(AND(EXACT(D73,E73),EXACT(E73,F73),EXACT(F73,G73)),"Same","DIFF")</f>
        <v>DIFF</v>
      </c>
    </row>
    <row r="74" customFormat="false" ht="15" hidden="false" customHeight="false" outlineLevel="0" collapsed="false">
      <c r="A74" s="26" t="s">
        <v>494</v>
      </c>
      <c r="B74" s="26" t="s">
        <v>514</v>
      </c>
      <c r="C74" s="26"/>
      <c r="D74" s="26" t="s">
        <v>494</v>
      </c>
      <c r="E74" s="26" t="s">
        <v>494</v>
      </c>
      <c r="F74" s="26" t="s">
        <v>494</v>
      </c>
      <c r="G74" s="26" t="s">
        <v>494</v>
      </c>
      <c r="H74" s="10" t="str">
        <f aca="false">IF(AND(EXACT(D74,E74),EXACT(E74,F74),EXACT(F74,G74)),"Same","DIFF")</f>
        <v>Same</v>
      </c>
    </row>
    <row r="75" customFormat="false" ht="15" hidden="false" customHeight="false" outlineLevel="0" collapsed="false">
      <c r="A75" s="26" t="s">
        <v>494</v>
      </c>
      <c r="B75" s="26" t="s">
        <v>515</v>
      </c>
      <c r="C75" s="26"/>
      <c r="D75" s="26" t="s">
        <v>137</v>
      </c>
      <c r="E75" s="26" t="s">
        <v>137</v>
      </c>
      <c r="F75" s="26" t="s">
        <v>137</v>
      </c>
      <c r="G75" s="26" t="s">
        <v>137</v>
      </c>
      <c r="H75" s="10" t="str">
        <f aca="false">IF(AND(EXACT(D75,E75),EXACT(E75,F75),EXACT(F75,G75)),"Same","DIFF")</f>
        <v>Same</v>
      </c>
    </row>
    <row r="76" customFormat="false" ht="15" hidden="false" customHeight="false" outlineLevel="0" collapsed="false">
      <c r="A76" s="26" t="s">
        <v>494</v>
      </c>
      <c r="B76" s="26" t="s">
        <v>224</v>
      </c>
      <c r="C76" s="26"/>
      <c r="D76" s="26" t="s">
        <v>539</v>
      </c>
      <c r="E76" s="26" t="s">
        <v>539</v>
      </c>
      <c r="F76" s="26" t="s">
        <v>540</v>
      </c>
      <c r="G76" s="26" t="s">
        <v>539</v>
      </c>
      <c r="H76" s="10" t="str">
        <f aca="false">IF(AND(EXACT(D76,E76),EXACT(E76,F76),EXACT(F76,G76)),"Same","DIFF")</f>
        <v>DIFF</v>
      </c>
    </row>
    <row r="77" customFormat="false" ht="23.85" hidden="false" customHeight="false" outlineLevel="0" collapsed="false">
      <c r="A77" s="26" t="s">
        <v>494</v>
      </c>
      <c r="B77" s="26" t="s">
        <v>516</v>
      </c>
      <c r="C77" s="26"/>
      <c r="D77" s="26" t="n">
        <f aca="false">COUNTIFS('Group Permissions'!$A$2:$A$479,$A77,'Group Permissions'!D$2:D$479,"&lt;&gt;(absent)")</f>
        <v>34</v>
      </c>
      <c r="E77" s="26" t="n">
        <f aca="false">COUNTIFS('Group Permissions'!$A$2:$A$479,$A77,'Group Permissions'!E$2:E$479,"&lt;&gt;(absent)")</f>
        <v>58</v>
      </c>
      <c r="F77" s="26" t="n">
        <f aca="false">COUNTIFS('Group Permissions'!$A$2:$A$479,$A77,'Group Permissions'!F$2:F$479,"&lt;&gt;(absent)")</f>
        <v>13</v>
      </c>
      <c r="G77" s="26" t="n">
        <f aca="false">COUNTIFS('Group Permissions'!$A$2:$A$479,$A77,'Group Permissions'!G$2:G$479,"&lt;&gt;(absent)")</f>
        <v>14</v>
      </c>
      <c r="H77" s="10" t="str">
        <f aca="false">IF(AND(EXACT(D77,E77),EXACT(E77,F77),EXACT(F77,G77)),"Same","DIFF")</f>
        <v>DIFF</v>
      </c>
    </row>
  </sheetData>
  <autoFilter ref="A1:H77"/>
  <conditionalFormatting sqref="E2:G77">
    <cfRule type="expression" priority="2" aboveAverage="0" equalAverage="0" bottom="0" percent="0" rank="0" text="" dxfId="3">
      <formula>NOT(EXACT(E2,$D2))</formula>
    </cfRule>
  </conditionalFormatting>
  <conditionalFormatting sqref="H2:H77">
    <cfRule type="expression" priority="3" aboveAverage="0" equalAverage="0" bottom="0" percent="0" rank="0" text="" dxfId="11">
      <formula>$H2="DIFF"</formula>
    </cfRule>
  </conditionalFormatting>
  <conditionalFormatting sqref="D2:G77">
    <cfRule type="expression" priority="4" aboveAverage="0" equalAverage="0" bottom="0" percent="0" rank="0" text="" dxfId="12">
      <formula>OR(D2="(absent)",D2="(null)")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4"/>
    <col collapsed="false" customWidth="true" hidden="false" outlineLevel="0" max="7" min="4" style="0" width="15"/>
    <col collapsed="false" customWidth="true" hidden="false" outlineLevel="0" max="8" min="8" style="0" width="10"/>
  </cols>
  <sheetData>
    <row r="1" customFormat="false" ht="30" hidden="false" customHeight="true" outlineLevel="0" collapsed="false">
      <c r="A1" s="20" t="s">
        <v>312</v>
      </c>
      <c r="B1" s="20"/>
      <c r="C1" s="20"/>
      <c r="D1" s="20" t="s">
        <v>314</v>
      </c>
      <c r="E1" s="20" t="s">
        <v>315</v>
      </c>
      <c r="F1" s="20" t="s">
        <v>316</v>
      </c>
      <c r="G1" s="20" t="s">
        <v>317</v>
      </c>
      <c r="H1" s="20" t="s">
        <v>77</v>
      </c>
    </row>
    <row r="2" customFormat="false" ht="15" hidden="false" customHeight="false" outlineLevel="0" collapsed="false">
      <c r="A2" s="26" t="s">
        <v>541</v>
      </c>
      <c r="B2" s="26"/>
      <c r="C2" s="26"/>
      <c r="D2" s="26" t="s">
        <v>368</v>
      </c>
      <c r="E2" s="26" t="s">
        <v>368</v>
      </c>
      <c r="F2" s="26" t="s">
        <v>368</v>
      </c>
      <c r="G2" s="26" t="s">
        <v>368</v>
      </c>
      <c r="H2" s="10" t="str">
        <f aca="false">IF(AND(EXACT(D2,E2),EXACT(E2,F2),EXACT(F2,G2)),"Same","DIFF")</f>
        <v>Same</v>
      </c>
    </row>
    <row r="3" customFormat="false" ht="15" hidden="false" customHeight="false" outlineLevel="0" collapsed="false">
      <c r="A3" s="26" t="s">
        <v>542</v>
      </c>
      <c r="B3" s="26"/>
      <c r="C3" s="26"/>
      <c r="D3" s="26" t="s">
        <v>368</v>
      </c>
      <c r="E3" s="26" t="s">
        <v>368</v>
      </c>
      <c r="F3" s="26" t="s">
        <v>368</v>
      </c>
      <c r="G3" s="26" t="s">
        <v>368</v>
      </c>
      <c r="H3" s="10" t="str">
        <f aca="false">IF(AND(EXACT(D3,E3),EXACT(E3,F3),EXACT(F3,G3)),"Same","DIFF")</f>
        <v>Same</v>
      </c>
    </row>
    <row r="4" customFormat="false" ht="15" hidden="false" customHeight="false" outlineLevel="0" collapsed="false">
      <c r="A4" s="26" t="s">
        <v>543</v>
      </c>
      <c r="B4" s="26"/>
      <c r="C4" s="26"/>
      <c r="D4" s="26" t="s">
        <v>368</v>
      </c>
      <c r="E4" s="26" t="s">
        <v>368</v>
      </c>
      <c r="F4" s="26" t="s">
        <v>368</v>
      </c>
      <c r="G4" s="26" t="s">
        <v>368</v>
      </c>
      <c r="H4" s="10" t="str">
        <f aca="false">IF(AND(EXACT(D4,E4),EXACT(E4,F4),EXACT(F4,G4)),"Same","DIFF")</f>
        <v>Same</v>
      </c>
    </row>
    <row r="5" customFormat="false" ht="15" hidden="false" customHeight="false" outlineLevel="0" collapsed="false">
      <c r="A5" s="26" t="s">
        <v>321</v>
      </c>
      <c r="B5" s="26"/>
      <c r="C5" s="26"/>
      <c r="D5" s="26" t="s">
        <v>104</v>
      </c>
      <c r="E5" s="26" t="s">
        <v>104</v>
      </c>
      <c r="F5" s="26" t="s">
        <v>320</v>
      </c>
      <c r="G5" s="26" t="s">
        <v>104</v>
      </c>
      <c r="H5" s="10" t="str">
        <f aca="false">IF(AND(EXACT(D5,E5),EXACT(E5,F5),EXACT(F5,G5)),"Same","DIFF")</f>
        <v>DIFF</v>
      </c>
    </row>
    <row r="6" customFormat="false" ht="15" hidden="false" customHeight="false" outlineLevel="0" collapsed="false">
      <c r="A6" s="26" t="s">
        <v>318</v>
      </c>
      <c r="B6" s="26"/>
      <c r="C6" s="26"/>
      <c r="D6" s="26" t="s">
        <v>104</v>
      </c>
      <c r="E6" s="26" t="s">
        <v>104</v>
      </c>
      <c r="F6" s="26" t="s">
        <v>104</v>
      </c>
      <c r="G6" s="26" t="s">
        <v>320</v>
      </c>
      <c r="H6" s="10" t="str">
        <f aca="false">IF(AND(EXACT(D6,E6),EXACT(E6,F6),EXACT(F6,G6)),"Same","DIFF")</f>
        <v>DIFF</v>
      </c>
    </row>
    <row r="7" customFormat="false" ht="15" hidden="false" customHeight="false" outlineLevel="0" collapsed="false">
      <c r="A7" s="26" t="s">
        <v>325</v>
      </c>
      <c r="B7" s="26"/>
      <c r="C7" s="26"/>
      <c r="D7" s="26" t="s">
        <v>104</v>
      </c>
      <c r="E7" s="26" t="s">
        <v>104</v>
      </c>
      <c r="F7" s="26" t="s">
        <v>320</v>
      </c>
      <c r="G7" s="26" t="s">
        <v>104</v>
      </c>
      <c r="H7" s="10" t="str">
        <f aca="false">IF(AND(EXACT(D7,E7),EXACT(E7,F7),EXACT(F7,G7)),"Same","DIFF")</f>
        <v>DIFF</v>
      </c>
    </row>
    <row r="8" customFormat="false" ht="15" hidden="false" customHeight="false" outlineLevel="0" collapsed="false">
      <c r="A8" s="26" t="s">
        <v>353</v>
      </c>
      <c r="B8" s="26"/>
      <c r="C8" s="26"/>
      <c r="D8" s="26" t="s">
        <v>104</v>
      </c>
      <c r="E8" s="26" t="s">
        <v>104</v>
      </c>
      <c r="F8" s="26" t="s">
        <v>104</v>
      </c>
      <c r="G8" s="26" t="s">
        <v>356</v>
      </c>
      <c r="H8" s="10" t="str">
        <f aca="false">IF(AND(EXACT(D8,E8),EXACT(E8,F8),EXACT(F8,G8)),"Same","DIFF")</f>
        <v>DIFF</v>
      </c>
    </row>
    <row r="9" customFormat="false" ht="15" hidden="false" customHeight="false" outlineLevel="0" collapsed="false">
      <c r="A9" s="26" t="s">
        <v>544</v>
      </c>
      <c r="B9" s="26"/>
      <c r="C9" s="26"/>
      <c r="D9" s="26" t="s">
        <v>104</v>
      </c>
      <c r="E9" s="26" t="s">
        <v>104</v>
      </c>
      <c r="F9" s="26" t="s">
        <v>104</v>
      </c>
      <c r="G9" s="26" t="s">
        <v>356</v>
      </c>
      <c r="H9" s="10" t="str">
        <f aca="false">IF(AND(EXACT(D9,E9),EXACT(E9,F9),EXACT(F9,G9)),"Same","DIFF")</f>
        <v>DIFF</v>
      </c>
    </row>
    <row r="10" customFormat="false" ht="15" hidden="false" customHeight="false" outlineLevel="0" collapsed="false">
      <c r="A10" s="26" t="s">
        <v>545</v>
      </c>
      <c r="B10" s="26"/>
      <c r="C10" s="26"/>
      <c r="D10" s="26" t="s">
        <v>104</v>
      </c>
      <c r="E10" s="26" t="s">
        <v>104</v>
      </c>
      <c r="F10" s="26" t="s">
        <v>104</v>
      </c>
      <c r="G10" s="26" t="s">
        <v>356</v>
      </c>
      <c r="H10" s="10" t="str">
        <f aca="false">IF(AND(EXACT(D10,E10),EXACT(E10,F10),EXACT(F10,G10)),"Same","DIFF")</f>
        <v>DIFF</v>
      </c>
    </row>
    <row r="11" customFormat="false" ht="15" hidden="false" customHeight="false" outlineLevel="0" collapsed="false">
      <c r="A11" s="26" t="s">
        <v>348</v>
      </c>
      <c r="B11" s="26"/>
      <c r="C11" s="26"/>
      <c r="D11" s="26" t="s">
        <v>320</v>
      </c>
      <c r="E11" s="26" t="s">
        <v>356</v>
      </c>
      <c r="F11" s="26" t="s">
        <v>320</v>
      </c>
      <c r="G11" s="26" t="s">
        <v>104</v>
      </c>
      <c r="H11" s="10" t="str">
        <f aca="false">IF(AND(EXACT(D11,E11),EXACT(E11,F11),EXACT(F11,G11)),"Same","DIFF")</f>
        <v>DIFF</v>
      </c>
    </row>
    <row r="12" customFormat="false" ht="15" hidden="false" customHeight="false" outlineLevel="0" collapsed="false">
      <c r="A12" s="26" t="s">
        <v>385</v>
      </c>
      <c r="B12" s="26"/>
      <c r="C12" s="26"/>
      <c r="D12" s="26" t="s">
        <v>368</v>
      </c>
      <c r="E12" s="26" t="s">
        <v>368</v>
      </c>
      <c r="F12" s="26" t="s">
        <v>368</v>
      </c>
      <c r="G12" s="26" t="s">
        <v>368</v>
      </c>
      <c r="H12" s="10" t="str">
        <f aca="false">IF(AND(EXACT(D12,E12),EXACT(E12,F12),EXACT(F12,G12)),"Same","DIFF")</f>
        <v>Same</v>
      </c>
    </row>
    <row r="13" customFormat="false" ht="15" hidden="false" customHeight="false" outlineLevel="0" collapsed="false">
      <c r="A13" s="26" t="s">
        <v>349</v>
      </c>
      <c r="B13" s="26"/>
      <c r="C13" s="26"/>
      <c r="D13" s="26" t="s">
        <v>320</v>
      </c>
      <c r="E13" s="26" t="s">
        <v>104</v>
      </c>
      <c r="F13" s="26" t="s">
        <v>104</v>
      </c>
      <c r="G13" s="26" t="s">
        <v>104</v>
      </c>
      <c r="H13" s="10" t="str">
        <f aca="false">IF(AND(EXACT(D13,E13),EXACT(E13,F13),EXACT(F13,G13)),"Same","DIFF")</f>
        <v>DIFF</v>
      </c>
    </row>
  </sheetData>
  <autoFilter ref="A1:H13"/>
  <conditionalFormatting sqref="E2:G13">
    <cfRule type="expression" priority="2" aboveAverage="0" equalAverage="0" bottom="0" percent="0" rank="0" text="" dxfId="3">
      <formula>NOT(EXACT(E2,$D2))</formula>
    </cfRule>
  </conditionalFormatting>
  <conditionalFormatting sqref="H2:H13">
    <cfRule type="expression" priority="3" aboveAverage="0" equalAverage="0" bottom="0" percent="0" rank="0" text="" dxfId="11">
      <formula>$H2="DIFF"</formula>
    </cfRule>
  </conditionalFormatting>
  <conditionalFormatting sqref="D2:G13">
    <cfRule type="expression" priority="4" aboveAverage="0" equalAverage="0" bottom="0" percent="0" rank="0" text="" dxfId="12">
      <formula>OR(D2="(absent)",D2="(null)")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3" min="3" style="0" width="4"/>
    <col collapsed="false" customWidth="true" hidden="false" outlineLevel="0" max="7" min="4" style="0" width="26"/>
    <col collapsed="false" customWidth="true" hidden="false" outlineLevel="0" max="8" min="8" style="0" width="10"/>
  </cols>
  <sheetData>
    <row r="1" customFormat="false" ht="30" hidden="false" customHeight="true" outlineLevel="0" collapsed="false">
      <c r="A1" s="20" t="s">
        <v>546</v>
      </c>
      <c r="B1" s="20" t="s">
        <v>547</v>
      </c>
      <c r="C1" s="20"/>
      <c r="D1" s="20" t="s">
        <v>90</v>
      </c>
      <c r="E1" s="20" t="s">
        <v>13</v>
      </c>
      <c r="F1" s="20" t="s">
        <v>14</v>
      </c>
      <c r="G1" s="20" t="s">
        <v>15</v>
      </c>
      <c r="H1" s="20" t="s">
        <v>77</v>
      </c>
    </row>
    <row r="2" customFormat="false" ht="15" hidden="false" customHeight="false" outlineLevel="0" collapsed="false">
      <c r="A2" s="26" t="s">
        <v>548</v>
      </c>
      <c r="B2" s="26" t="n">
        <v>1</v>
      </c>
      <c r="C2" s="26"/>
      <c r="D2" s="26" t="s">
        <v>549</v>
      </c>
      <c r="E2" s="26" t="s">
        <v>549</v>
      </c>
      <c r="F2" s="26" t="s">
        <v>549</v>
      </c>
      <c r="G2" s="26" t="s">
        <v>549</v>
      </c>
      <c r="H2" s="10" t="str">
        <f aca="false">IF(AND(EXACT(D2,E2),EXACT(E2,F2),EXACT(F2,G2)),"Same","DIFF")</f>
        <v>Same</v>
      </c>
    </row>
    <row r="3" customFormat="false" ht="15" hidden="false" customHeight="false" outlineLevel="0" collapsed="false">
      <c r="A3" s="26" t="s">
        <v>548</v>
      </c>
      <c r="B3" s="26" t="n">
        <v>2</v>
      </c>
      <c r="C3" s="26"/>
      <c r="D3" s="26" t="s">
        <v>550</v>
      </c>
      <c r="E3" s="26" t="s">
        <v>550</v>
      </c>
      <c r="F3" s="26" t="s">
        <v>550</v>
      </c>
      <c r="G3" s="26" t="s">
        <v>550</v>
      </c>
      <c r="H3" s="10" t="str">
        <f aca="false">IF(AND(EXACT(D3,E3),EXACT(E3,F3),EXACT(F3,G3)),"Same","DIFF")</f>
        <v>Same</v>
      </c>
    </row>
    <row r="4" customFormat="false" ht="15" hidden="false" customHeight="false" outlineLevel="0" collapsed="false">
      <c r="A4" s="26" t="s">
        <v>548</v>
      </c>
      <c r="B4" s="26" t="n">
        <v>3</v>
      </c>
      <c r="C4" s="26"/>
      <c r="D4" s="26" t="s">
        <v>551</v>
      </c>
      <c r="E4" s="26" t="s">
        <v>551</v>
      </c>
      <c r="F4" s="26" t="s">
        <v>551</v>
      </c>
      <c r="G4" s="26" t="s">
        <v>552</v>
      </c>
      <c r="H4" s="10" t="str">
        <f aca="false">IF(AND(EXACT(D4,E4),EXACT(E4,F4),EXACT(F4,G4)),"Same","DIFF")</f>
        <v>DIFF</v>
      </c>
    </row>
    <row r="5" customFormat="false" ht="15" hidden="false" customHeight="false" outlineLevel="0" collapsed="false">
      <c r="A5" s="26" t="s">
        <v>548</v>
      </c>
      <c r="B5" s="26" t="n">
        <v>4</v>
      </c>
      <c r="C5" s="26"/>
      <c r="D5" s="26" t="s">
        <v>553</v>
      </c>
      <c r="E5" s="26" t="s">
        <v>553</v>
      </c>
      <c r="F5" s="26" t="s">
        <v>553</v>
      </c>
      <c r="G5" s="26" t="s">
        <v>554</v>
      </c>
      <c r="H5" s="10" t="str">
        <f aca="false">IF(AND(EXACT(D5,E5),EXACT(E5,F5),EXACT(F5,G5)),"Same","DIFF")</f>
        <v>DIFF</v>
      </c>
    </row>
    <row r="6" customFormat="false" ht="15" hidden="false" customHeight="false" outlineLevel="0" collapsed="false">
      <c r="A6" s="26" t="s">
        <v>548</v>
      </c>
      <c r="B6" s="26" t="n">
        <v>5</v>
      </c>
      <c r="C6" s="26"/>
      <c r="D6" s="26" t="s">
        <v>555</v>
      </c>
      <c r="E6" s="26" t="s">
        <v>555</v>
      </c>
      <c r="F6" s="26" t="s">
        <v>555</v>
      </c>
      <c r="G6" s="26" t="s">
        <v>556</v>
      </c>
      <c r="H6" s="10" t="str">
        <f aca="false">IF(AND(EXACT(D6,E6),EXACT(E6,F6),EXACT(F6,G6)),"Same","DIFF")</f>
        <v>DIFF</v>
      </c>
    </row>
    <row r="7" customFormat="false" ht="15" hidden="false" customHeight="false" outlineLevel="0" collapsed="false">
      <c r="A7" s="26" t="s">
        <v>548</v>
      </c>
      <c r="B7" s="26" t="n">
        <v>6</v>
      </c>
      <c r="C7" s="26"/>
      <c r="D7" s="26" t="s">
        <v>557</v>
      </c>
      <c r="E7" s="26" t="s">
        <v>557</v>
      </c>
      <c r="F7" s="26" t="s">
        <v>557</v>
      </c>
      <c r="G7" s="26" t="s">
        <v>558</v>
      </c>
      <c r="H7" s="10" t="str">
        <f aca="false">IF(AND(EXACT(D7,E7),EXACT(E7,F7),EXACT(F7,G7)),"Same","DIFF")</f>
        <v>DIFF</v>
      </c>
    </row>
    <row r="8" customFormat="false" ht="15" hidden="false" customHeight="false" outlineLevel="0" collapsed="false">
      <c r="A8" s="26" t="s">
        <v>548</v>
      </c>
      <c r="B8" s="26" t="n">
        <v>7</v>
      </c>
      <c r="C8" s="26"/>
      <c r="D8" s="26" t="s">
        <v>559</v>
      </c>
      <c r="E8" s="26" t="s">
        <v>559</v>
      </c>
      <c r="F8" s="26" t="s">
        <v>559</v>
      </c>
      <c r="G8" s="26" t="s">
        <v>560</v>
      </c>
      <c r="H8" s="10" t="str">
        <f aca="false">IF(AND(EXACT(D8,E8),EXACT(E8,F8),EXACT(F8,G8)),"Same","DIFF")</f>
        <v>DIFF</v>
      </c>
    </row>
    <row r="9" customFormat="false" ht="15" hidden="false" customHeight="false" outlineLevel="0" collapsed="false">
      <c r="A9" s="26" t="s">
        <v>548</v>
      </c>
      <c r="B9" s="26" t="n">
        <v>8</v>
      </c>
      <c r="C9" s="26"/>
      <c r="D9" s="26" t="s">
        <v>552</v>
      </c>
      <c r="E9" s="26" t="s">
        <v>552</v>
      </c>
      <c r="F9" s="26" t="s">
        <v>552</v>
      </c>
      <c r="G9" s="26" t="s">
        <v>137</v>
      </c>
      <c r="H9" s="10" t="str">
        <f aca="false">IF(AND(EXACT(D9,E9),EXACT(E9,F9),EXACT(F9,G9)),"Same","DIFF")</f>
        <v>DIFF</v>
      </c>
    </row>
    <row r="10" customFormat="false" ht="15" hidden="false" customHeight="false" outlineLevel="0" collapsed="false">
      <c r="A10" s="26" t="s">
        <v>548</v>
      </c>
      <c r="B10" s="26" t="n">
        <v>9</v>
      </c>
      <c r="C10" s="26"/>
      <c r="D10" s="26" t="s">
        <v>554</v>
      </c>
      <c r="E10" s="26" t="s">
        <v>554</v>
      </c>
      <c r="F10" s="26" t="s">
        <v>554</v>
      </c>
      <c r="G10" s="26" t="s">
        <v>137</v>
      </c>
      <c r="H10" s="10" t="str">
        <f aca="false">IF(AND(EXACT(D10,E10),EXACT(E10,F10),EXACT(F10,G10)),"Same","DIFF")</f>
        <v>DIFF</v>
      </c>
    </row>
    <row r="11" customFormat="false" ht="15" hidden="false" customHeight="false" outlineLevel="0" collapsed="false">
      <c r="A11" s="26" t="s">
        <v>548</v>
      </c>
      <c r="B11" s="26" t="n">
        <v>10</v>
      </c>
      <c r="C11" s="26"/>
      <c r="D11" s="26" t="s">
        <v>556</v>
      </c>
      <c r="E11" s="26" t="s">
        <v>556</v>
      </c>
      <c r="F11" s="26" t="s">
        <v>556</v>
      </c>
      <c r="G11" s="26" t="s">
        <v>137</v>
      </c>
      <c r="H11" s="10" t="str">
        <f aca="false">IF(AND(EXACT(D11,E11),EXACT(E11,F11),EXACT(F11,G11)),"Same","DIFF")</f>
        <v>DIFF</v>
      </c>
    </row>
    <row r="12" customFormat="false" ht="15" hidden="false" customHeight="false" outlineLevel="0" collapsed="false">
      <c r="A12" s="26" t="s">
        <v>548</v>
      </c>
      <c r="B12" s="26" t="n">
        <v>11</v>
      </c>
      <c r="C12" s="26"/>
      <c r="D12" s="26" t="s">
        <v>558</v>
      </c>
      <c r="E12" s="26" t="s">
        <v>558</v>
      </c>
      <c r="F12" s="26" t="s">
        <v>558</v>
      </c>
      <c r="G12" s="26" t="s">
        <v>137</v>
      </c>
      <c r="H12" s="10" t="str">
        <f aca="false">IF(AND(EXACT(D12,E12),EXACT(E12,F12),EXACT(F12,G12)),"Same","DIFF")</f>
        <v>DIFF</v>
      </c>
    </row>
    <row r="13" customFormat="false" ht="15" hidden="false" customHeight="false" outlineLevel="0" collapsed="false">
      <c r="A13" s="26" t="s">
        <v>548</v>
      </c>
      <c r="B13" s="26" t="n">
        <v>12</v>
      </c>
      <c r="C13" s="26"/>
      <c r="D13" s="26" t="s">
        <v>560</v>
      </c>
      <c r="E13" s="26" t="s">
        <v>560</v>
      </c>
      <c r="F13" s="26" t="s">
        <v>560</v>
      </c>
      <c r="G13" s="26" t="s">
        <v>137</v>
      </c>
      <c r="H13" s="10" t="str">
        <f aca="false">IF(AND(EXACT(D13,E13),EXACT(E13,F13),EXACT(F13,G13)),"Same","DIFF")</f>
        <v>DIFF</v>
      </c>
    </row>
    <row r="14" customFormat="false" ht="15" hidden="false" customHeight="false" outlineLevel="0" collapsed="false">
      <c r="A14" s="26" t="s">
        <v>548</v>
      </c>
      <c r="B14" s="26" t="n">
        <v>13</v>
      </c>
      <c r="C14" s="26"/>
      <c r="D14" s="26" t="s">
        <v>561</v>
      </c>
      <c r="E14" s="26" t="s">
        <v>137</v>
      </c>
      <c r="F14" s="26" t="s">
        <v>561</v>
      </c>
      <c r="G14" s="26" t="s">
        <v>137</v>
      </c>
      <c r="H14" s="10" t="str">
        <f aca="false">IF(AND(EXACT(D14,E14),EXACT(E14,F14),EXACT(F14,G14)),"Same","DIFF")</f>
        <v>DIFF</v>
      </c>
    </row>
    <row r="15" customFormat="false" ht="15" hidden="false" customHeight="false" outlineLevel="0" collapsed="false">
      <c r="A15" s="26" t="s">
        <v>548</v>
      </c>
      <c r="B15" s="26" t="n">
        <v>14</v>
      </c>
      <c r="C15" s="26"/>
      <c r="D15" s="26" t="s">
        <v>562</v>
      </c>
      <c r="E15" s="26" t="s">
        <v>137</v>
      </c>
      <c r="F15" s="26" t="s">
        <v>562</v>
      </c>
      <c r="G15" s="26" t="s">
        <v>563</v>
      </c>
      <c r="H15" s="10" t="str">
        <f aca="false">IF(AND(EXACT(D15,E15),EXACT(E15,F15),EXACT(F15,G15)),"Same","DIFF")</f>
        <v>DIFF</v>
      </c>
    </row>
    <row r="16" customFormat="false" ht="15" hidden="false" customHeight="false" outlineLevel="0" collapsed="false">
      <c r="A16" s="26" t="s">
        <v>548</v>
      </c>
      <c r="B16" s="26" t="n">
        <v>15</v>
      </c>
      <c r="C16" s="26"/>
      <c r="D16" s="26" t="s">
        <v>564</v>
      </c>
      <c r="E16" s="26" t="s">
        <v>137</v>
      </c>
      <c r="F16" s="26" t="s">
        <v>564</v>
      </c>
      <c r="G16" s="26" t="s">
        <v>565</v>
      </c>
      <c r="H16" s="10" t="str">
        <f aca="false">IF(AND(EXACT(D16,E16),EXACT(E16,F16),EXACT(F16,G16)),"Same","DIFF")</f>
        <v>DIFF</v>
      </c>
    </row>
    <row r="17" customFormat="false" ht="15" hidden="false" customHeight="false" outlineLevel="0" collapsed="false">
      <c r="A17" s="26" t="s">
        <v>548</v>
      </c>
      <c r="B17" s="26" t="n">
        <v>16</v>
      </c>
      <c r="C17" s="26"/>
      <c r="D17" s="26" t="s">
        <v>566</v>
      </c>
      <c r="E17" s="26" t="s">
        <v>137</v>
      </c>
      <c r="F17" s="26" t="s">
        <v>566</v>
      </c>
      <c r="G17" s="26" t="s">
        <v>567</v>
      </c>
      <c r="H17" s="10" t="str">
        <f aca="false">IF(AND(EXACT(D17,E17),EXACT(E17,F17),EXACT(F17,G17)),"Same","DIFF")</f>
        <v>DIFF</v>
      </c>
    </row>
    <row r="18" customFormat="false" ht="15" hidden="false" customHeight="false" outlineLevel="0" collapsed="false">
      <c r="A18" s="26" t="s">
        <v>548</v>
      </c>
      <c r="B18" s="26" t="n">
        <v>17</v>
      </c>
      <c r="C18" s="26"/>
      <c r="D18" s="26" t="s">
        <v>568</v>
      </c>
      <c r="E18" s="26" t="s">
        <v>137</v>
      </c>
      <c r="F18" s="26" t="s">
        <v>568</v>
      </c>
      <c r="G18" s="26" t="s">
        <v>567</v>
      </c>
      <c r="H18" s="10" t="str">
        <f aca="false">IF(AND(EXACT(D18,E18),EXACT(E18,F18),EXACT(F18,G18)),"Same","DIFF")</f>
        <v>DIFF</v>
      </c>
    </row>
    <row r="19" customFormat="false" ht="15" hidden="false" customHeight="false" outlineLevel="0" collapsed="false">
      <c r="A19" s="26" t="s">
        <v>548</v>
      </c>
      <c r="B19" s="26" t="n">
        <v>18</v>
      </c>
      <c r="C19" s="26"/>
      <c r="D19" s="26" t="s">
        <v>569</v>
      </c>
      <c r="E19" s="26" t="s">
        <v>137</v>
      </c>
      <c r="F19" s="26" t="s">
        <v>569</v>
      </c>
      <c r="G19" s="26" t="s">
        <v>567</v>
      </c>
      <c r="H19" s="10" t="str">
        <f aca="false">IF(AND(EXACT(D19,E19),EXACT(E19,F19),EXACT(F19,G19)),"Same","DIFF")</f>
        <v>DIFF</v>
      </c>
    </row>
    <row r="20" customFormat="false" ht="15" hidden="false" customHeight="false" outlineLevel="0" collapsed="false">
      <c r="A20" s="26" t="s">
        <v>548</v>
      </c>
      <c r="B20" s="26" t="n">
        <v>19</v>
      </c>
      <c r="C20" s="26"/>
      <c r="D20" s="26" t="s">
        <v>563</v>
      </c>
      <c r="E20" s="26" t="s">
        <v>563</v>
      </c>
      <c r="F20" s="26" t="s">
        <v>563</v>
      </c>
      <c r="G20" s="26" t="s">
        <v>567</v>
      </c>
      <c r="H20" s="10" t="str">
        <f aca="false">IF(AND(EXACT(D20,E20),EXACT(E20,F20),EXACT(F20,G20)),"Same","DIFF")</f>
        <v>DIFF</v>
      </c>
    </row>
    <row r="21" customFormat="false" ht="15" hidden="false" customHeight="false" outlineLevel="0" collapsed="false">
      <c r="A21" s="26" t="s">
        <v>548</v>
      </c>
      <c r="B21" s="26" t="n">
        <v>20</v>
      </c>
      <c r="C21" s="26"/>
      <c r="D21" s="26" t="s">
        <v>565</v>
      </c>
      <c r="E21" s="26" t="s">
        <v>565</v>
      </c>
      <c r="F21" s="26" t="s">
        <v>565</v>
      </c>
      <c r="G21" s="26" t="s">
        <v>567</v>
      </c>
      <c r="H21" s="10" t="str">
        <f aca="false">IF(AND(EXACT(D21,E21),EXACT(E21,F21),EXACT(F21,G21)),"Same","DIFF")</f>
        <v>DIFF</v>
      </c>
    </row>
    <row r="22" customFormat="false" ht="15" hidden="false" customHeight="false" outlineLevel="0" collapsed="false">
      <c r="A22" s="26" t="s">
        <v>570</v>
      </c>
      <c r="B22" s="26" t="n">
        <v>1</v>
      </c>
      <c r="C22" s="26"/>
      <c r="D22" s="26" t="s">
        <v>571</v>
      </c>
      <c r="E22" s="26" t="s">
        <v>571</v>
      </c>
      <c r="F22" s="26" t="s">
        <v>571</v>
      </c>
      <c r="G22" s="26" t="s">
        <v>571</v>
      </c>
      <c r="H22" s="10" t="str">
        <f aca="false">IF(AND(EXACT(D22,E22),EXACT(E22,F22),EXACT(F22,G22)),"Same","DIFF")</f>
        <v>Same</v>
      </c>
    </row>
    <row r="23" customFormat="false" ht="15" hidden="false" customHeight="false" outlineLevel="0" collapsed="false">
      <c r="A23" s="26" t="s">
        <v>570</v>
      </c>
      <c r="B23" s="26" t="n">
        <v>2</v>
      </c>
      <c r="C23" s="26"/>
      <c r="D23" s="26" t="s">
        <v>572</v>
      </c>
      <c r="E23" s="26" t="s">
        <v>572</v>
      </c>
      <c r="F23" s="26" t="s">
        <v>572</v>
      </c>
      <c r="G23" s="26" t="s">
        <v>572</v>
      </c>
      <c r="H23" s="10" t="str">
        <f aca="false">IF(AND(EXACT(D23,E23),EXACT(E23,F23),EXACT(F23,G23)),"Same","DIFF")</f>
        <v>Same</v>
      </c>
    </row>
    <row r="24" customFormat="false" ht="15" hidden="false" customHeight="false" outlineLevel="0" collapsed="false">
      <c r="A24" s="26" t="s">
        <v>570</v>
      </c>
      <c r="B24" s="26" t="n">
        <v>3</v>
      </c>
      <c r="C24" s="26"/>
      <c r="D24" s="26" t="s">
        <v>555</v>
      </c>
      <c r="E24" s="26" t="s">
        <v>555</v>
      </c>
      <c r="F24" s="26" t="s">
        <v>137</v>
      </c>
      <c r="G24" s="26" t="s">
        <v>573</v>
      </c>
      <c r="H24" s="10" t="str">
        <f aca="false">IF(AND(EXACT(D24,E24),EXACT(E24,F24),EXACT(F24,G24)),"Same","DIFF")</f>
        <v>DIFF</v>
      </c>
    </row>
    <row r="25" customFormat="false" ht="15" hidden="false" customHeight="false" outlineLevel="0" collapsed="false">
      <c r="A25" s="26" t="s">
        <v>570</v>
      </c>
      <c r="B25" s="26" t="n">
        <v>4</v>
      </c>
      <c r="C25" s="26"/>
      <c r="D25" s="26" t="s">
        <v>573</v>
      </c>
      <c r="E25" s="26" t="s">
        <v>573</v>
      </c>
      <c r="F25" s="26" t="s">
        <v>573</v>
      </c>
      <c r="G25" s="26" t="s">
        <v>574</v>
      </c>
      <c r="H25" s="10" t="str">
        <f aca="false">IF(AND(EXACT(D25,E25),EXACT(E25,F25),EXACT(F25,G25)),"Same","DIFF")</f>
        <v>DIFF</v>
      </c>
    </row>
    <row r="26" customFormat="false" ht="15" hidden="false" customHeight="false" outlineLevel="0" collapsed="false">
      <c r="A26" s="26" t="s">
        <v>570</v>
      </c>
      <c r="B26" s="26" t="n">
        <v>5</v>
      </c>
      <c r="C26" s="26"/>
      <c r="D26" s="26" t="s">
        <v>574</v>
      </c>
      <c r="E26" s="26" t="s">
        <v>574</v>
      </c>
      <c r="F26" s="26" t="s">
        <v>574</v>
      </c>
      <c r="G26" s="26" t="s">
        <v>575</v>
      </c>
      <c r="H26" s="10" t="str">
        <f aca="false">IF(AND(EXACT(D26,E26),EXACT(E26,F26),EXACT(F26,G26)),"Same","DIFF")</f>
        <v>DIFF</v>
      </c>
    </row>
    <row r="27" customFormat="false" ht="15" hidden="false" customHeight="false" outlineLevel="0" collapsed="false">
      <c r="A27" s="26" t="s">
        <v>570</v>
      </c>
      <c r="B27" s="26" t="n">
        <v>6</v>
      </c>
      <c r="C27" s="26"/>
      <c r="D27" s="26" t="s">
        <v>567</v>
      </c>
      <c r="E27" s="26" t="s">
        <v>567</v>
      </c>
      <c r="F27" s="26" t="s">
        <v>567</v>
      </c>
      <c r="G27" s="26" t="s">
        <v>576</v>
      </c>
      <c r="H27" s="10" t="str">
        <f aca="false">IF(AND(EXACT(D27,E27),EXACT(E27,F27),EXACT(F27,G27)),"Same","DIFF")</f>
        <v>DIFF</v>
      </c>
    </row>
    <row r="28" customFormat="false" ht="15" hidden="false" customHeight="false" outlineLevel="0" collapsed="false">
      <c r="A28" s="26" t="s">
        <v>577</v>
      </c>
      <c r="B28" s="26" t="n">
        <v>1</v>
      </c>
      <c r="C28" s="26"/>
      <c r="D28" s="26" t="s">
        <v>137</v>
      </c>
      <c r="E28" s="26" t="s">
        <v>137</v>
      </c>
      <c r="F28" s="26" t="s">
        <v>137</v>
      </c>
      <c r="G28" s="26" t="s">
        <v>137</v>
      </c>
      <c r="H28" s="10" t="str">
        <f aca="false">IF(AND(EXACT(D28,E28),EXACT(E28,F28),EXACT(F28,G28)),"Same","DIFF")</f>
        <v>Same</v>
      </c>
    </row>
    <row r="29" customFormat="false" ht="15" hidden="false" customHeight="false" outlineLevel="0" collapsed="false">
      <c r="A29" s="26" t="s">
        <v>577</v>
      </c>
      <c r="B29" s="26" t="n">
        <v>2</v>
      </c>
      <c r="C29" s="26"/>
      <c r="D29" s="26" t="s">
        <v>550</v>
      </c>
      <c r="E29" s="26" t="s">
        <v>550</v>
      </c>
      <c r="F29" s="26" t="s">
        <v>550</v>
      </c>
      <c r="G29" s="26" t="s">
        <v>550</v>
      </c>
      <c r="H29" s="10" t="str">
        <f aca="false">IF(AND(EXACT(D29,E29),EXACT(E29,F29),EXACT(F29,G29)),"Same","DIFF")</f>
        <v>Same</v>
      </c>
    </row>
    <row r="30" customFormat="false" ht="15" hidden="false" customHeight="false" outlineLevel="0" collapsed="false">
      <c r="A30" s="26" t="s">
        <v>577</v>
      </c>
      <c r="B30" s="26" t="n">
        <v>3</v>
      </c>
      <c r="C30" s="26"/>
      <c r="D30" s="26" t="s">
        <v>560</v>
      </c>
      <c r="E30" s="26" t="s">
        <v>560</v>
      </c>
      <c r="F30" s="26" t="s">
        <v>560</v>
      </c>
      <c r="G30" s="26" t="s">
        <v>560</v>
      </c>
      <c r="H30" s="10" t="str">
        <f aca="false">IF(AND(EXACT(D30,E30),EXACT(E30,F30),EXACT(F30,G30)),"Same","DIFF")</f>
        <v>Same</v>
      </c>
    </row>
    <row r="31" customFormat="false" ht="15" hidden="false" customHeight="false" outlineLevel="0" collapsed="false">
      <c r="A31" s="26" t="s">
        <v>577</v>
      </c>
      <c r="B31" s="26" t="n">
        <v>4</v>
      </c>
      <c r="C31" s="26"/>
      <c r="D31" s="26" t="s">
        <v>558</v>
      </c>
      <c r="E31" s="26" t="s">
        <v>558</v>
      </c>
      <c r="F31" s="26" t="s">
        <v>558</v>
      </c>
      <c r="G31" s="26" t="s">
        <v>558</v>
      </c>
      <c r="H31" s="10" t="str">
        <f aca="false">IF(AND(EXACT(D31,E31),EXACT(E31,F31),EXACT(F31,G31)),"Same","DIFF")</f>
        <v>Same</v>
      </c>
    </row>
    <row r="32" customFormat="false" ht="15" hidden="false" customHeight="false" outlineLevel="0" collapsed="false">
      <c r="A32" s="26" t="s">
        <v>577</v>
      </c>
      <c r="B32" s="26" t="n">
        <v>5</v>
      </c>
      <c r="C32" s="26"/>
      <c r="D32" s="26" t="s">
        <v>551</v>
      </c>
      <c r="E32" s="26" t="s">
        <v>551</v>
      </c>
      <c r="F32" s="26" t="s">
        <v>551</v>
      </c>
      <c r="G32" s="26" t="s">
        <v>551</v>
      </c>
      <c r="H32" s="10" t="str">
        <f aca="false">IF(AND(EXACT(D32,E32),EXACT(E32,F32),EXACT(F32,G32)),"Same","DIFF")</f>
        <v>Same</v>
      </c>
    </row>
    <row r="33" customFormat="false" ht="15" hidden="false" customHeight="false" outlineLevel="0" collapsed="false">
      <c r="A33" s="26" t="s">
        <v>577</v>
      </c>
      <c r="B33" s="26" t="n">
        <v>6</v>
      </c>
      <c r="C33" s="26"/>
      <c r="D33" s="26" t="s">
        <v>555</v>
      </c>
      <c r="E33" s="26" t="s">
        <v>555</v>
      </c>
      <c r="F33" s="26" t="s">
        <v>555</v>
      </c>
      <c r="G33" s="26" t="s">
        <v>555</v>
      </c>
      <c r="H33" s="10" t="str">
        <f aca="false">IF(AND(EXACT(D33,E33),EXACT(E33,F33),EXACT(F33,G33)),"Same","DIFF")</f>
        <v>Same</v>
      </c>
    </row>
    <row r="34" customFormat="false" ht="15" hidden="false" customHeight="false" outlineLevel="0" collapsed="false">
      <c r="A34" s="26" t="s">
        <v>577</v>
      </c>
      <c r="B34" s="26" t="n">
        <v>7</v>
      </c>
      <c r="C34" s="26"/>
      <c r="D34" s="26" t="s">
        <v>569</v>
      </c>
      <c r="E34" s="26" t="s">
        <v>569</v>
      </c>
      <c r="F34" s="26" t="s">
        <v>569</v>
      </c>
      <c r="G34" s="26" t="s">
        <v>569</v>
      </c>
      <c r="H34" s="10" t="str">
        <f aca="false">IF(AND(EXACT(D34,E34),EXACT(E34,F34),EXACT(F34,G34)),"Same","DIFF")</f>
        <v>Same</v>
      </c>
    </row>
    <row r="35" customFormat="false" ht="15" hidden="false" customHeight="false" outlineLevel="0" collapsed="false">
      <c r="A35" s="26" t="s">
        <v>577</v>
      </c>
      <c r="B35" s="26" t="n">
        <v>8</v>
      </c>
      <c r="C35" s="26"/>
      <c r="D35" s="26" t="s">
        <v>578</v>
      </c>
      <c r="E35" s="26" t="s">
        <v>578</v>
      </c>
      <c r="F35" s="26" t="s">
        <v>578</v>
      </c>
      <c r="G35" s="26" t="s">
        <v>578</v>
      </c>
      <c r="H35" s="10" t="str">
        <f aca="false">IF(AND(EXACT(D35,E35),EXACT(E35,F35),EXACT(F35,G35)),"Same","DIFF")</f>
        <v>Same</v>
      </c>
    </row>
    <row r="36" customFormat="false" ht="15" hidden="false" customHeight="false" outlineLevel="0" collapsed="false">
      <c r="A36" s="26" t="s">
        <v>577</v>
      </c>
      <c r="B36" s="26" t="n">
        <v>9</v>
      </c>
      <c r="C36" s="26"/>
      <c r="D36" s="26" t="s">
        <v>579</v>
      </c>
      <c r="E36" s="26" t="s">
        <v>579</v>
      </c>
      <c r="F36" s="26" t="s">
        <v>579</v>
      </c>
      <c r="G36" s="26" t="s">
        <v>579</v>
      </c>
      <c r="H36" s="10" t="str">
        <f aca="false">IF(AND(EXACT(D36,E36),EXACT(E36,F36),EXACT(F36,G36)),"Same","DIFF")</f>
        <v>Same</v>
      </c>
    </row>
    <row r="37" customFormat="false" ht="15" hidden="false" customHeight="false" outlineLevel="0" collapsed="false">
      <c r="A37" s="26" t="s">
        <v>577</v>
      </c>
      <c r="B37" s="26" t="n">
        <v>10</v>
      </c>
      <c r="C37" s="26"/>
      <c r="D37" s="26" t="s">
        <v>567</v>
      </c>
      <c r="E37" s="26" t="s">
        <v>567</v>
      </c>
      <c r="F37" s="26" t="s">
        <v>567</v>
      </c>
      <c r="G37" s="26" t="s">
        <v>580</v>
      </c>
      <c r="H37" s="10" t="str">
        <f aca="false">IF(AND(EXACT(D37,E37),EXACT(E37,F37),EXACT(F37,G37)),"Same","DIFF")</f>
        <v>DIFF</v>
      </c>
    </row>
    <row r="38" customFormat="false" ht="15" hidden="false" customHeight="false" outlineLevel="0" collapsed="false">
      <c r="A38" s="26" t="s">
        <v>581</v>
      </c>
      <c r="B38" s="26" t="n">
        <v>1</v>
      </c>
      <c r="C38" s="26"/>
      <c r="D38" s="26" t="s">
        <v>137</v>
      </c>
      <c r="E38" s="26" t="s">
        <v>582</v>
      </c>
      <c r="F38" s="26" t="s">
        <v>137</v>
      </c>
      <c r="G38" s="26" t="s">
        <v>137</v>
      </c>
      <c r="H38" s="10" t="str">
        <f aca="false">IF(AND(EXACT(D38,E38),EXACT(E38,F38),EXACT(F38,G38)),"Same","DIFF")</f>
        <v>DIFF</v>
      </c>
    </row>
    <row r="39" customFormat="false" ht="15" hidden="false" customHeight="false" outlineLevel="0" collapsed="false">
      <c r="A39" s="26" t="s">
        <v>581</v>
      </c>
      <c r="B39" s="26" t="n">
        <v>2</v>
      </c>
      <c r="C39" s="26"/>
      <c r="D39" s="26" t="s">
        <v>555</v>
      </c>
      <c r="E39" s="26" t="s">
        <v>137</v>
      </c>
      <c r="F39" s="26" t="s">
        <v>137</v>
      </c>
      <c r="G39" s="26" t="s">
        <v>137</v>
      </c>
      <c r="H39" s="10" t="str">
        <f aca="false">IF(AND(EXACT(D39,E39),EXACT(E39,F39),EXACT(F39,G39)),"Same","DIFF")</f>
        <v>DIFF</v>
      </c>
    </row>
    <row r="40" customFormat="false" ht="15" hidden="false" customHeight="false" outlineLevel="0" collapsed="false">
      <c r="A40" s="26" t="s">
        <v>581</v>
      </c>
      <c r="B40" s="26" t="n">
        <v>3</v>
      </c>
      <c r="C40" s="26"/>
      <c r="D40" s="26" t="s">
        <v>583</v>
      </c>
      <c r="E40" s="26" t="s">
        <v>583</v>
      </c>
      <c r="F40" s="26" t="s">
        <v>583</v>
      </c>
      <c r="G40" s="26" t="s">
        <v>583</v>
      </c>
      <c r="H40" s="10" t="str">
        <f aca="false">IF(AND(EXACT(D40,E40),EXACT(E40,F40),EXACT(F40,G40)),"Same","DIFF")</f>
        <v>Same</v>
      </c>
    </row>
    <row r="41" customFormat="false" ht="15" hidden="false" customHeight="false" outlineLevel="0" collapsed="false">
      <c r="A41" s="26" t="s">
        <v>581</v>
      </c>
      <c r="B41" s="26" t="n">
        <v>4</v>
      </c>
      <c r="C41" s="26"/>
      <c r="D41" s="26" t="s">
        <v>584</v>
      </c>
      <c r="E41" s="26" t="s">
        <v>584</v>
      </c>
      <c r="F41" s="26" t="s">
        <v>585</v>
      </c>
      <c r="G41" s="26" t="s">
        <v>584</v>
      </c>
      <c r="H41" s="10" t="str">
        <f aca="false">IF(AND(EXACT(D41,E41),EXACT(E41,F41),EXACT(F41,G41)),"Same","DIFF")</f>
        <v>DIFF</v>
      </c>
    </row>
    <row r="42" customFormat="false" ht="15" hidden="false" customHeight="false" outlineLevel="0" collapsed="false">
      <c r="A42" s="26" t="s">
        <v>581</v>
      </c>
      <c r="B42" s="26" t="n">
        <v>5</v>
      </c>
      <c r="C42" s="26"/>
      <c r="D42" s="26" t="s">
        <v>586</v>
      </c>
      <c r="E42" s="26" t="s">
        <v>586</v>
      </c>
      <c r="F42" s="26" t="s">
        <v>586</v>
      </c>
      <c r="G42" s="26" t="s">
        <v>586</v>
      </c>
      <c r="H42" s="10" t="str">
        <f aca="false">IF(AND(EXACT(D42,E42),EXACT(E42,F42),EXACT(F42,G42)),"Same","DIFF")</f>
        <v>Same</v>
      </c>
    </row>
    <row r="43" customFormat="false" ht="15" hidden="false" customHeight="false" outlineLevel="0" collapsed="false">
      <c r="A43" s="26" t="s">
        <v>581</v>
      </c>
      <c r="B43" s="26" t="n">
        <v>6</v>
      </c>
      <c r="C43" s="26"/>
      <c r="D43" s="26" t="s">
        <v>587</v>
      </c>
      <c r="E43" s="26" t="s">
        <v>587</v>
      </c>
      <c r="F43" s="26" t="s">
        <v>587</v>
      </c>
      <c r="G43" s="26" t="s">
        <v>587</v>
      </c>
      <c r="H43" s="10" t="str">
        <f aca="false">IF(AND(EXACT(D43,E43),EXACT(E43,F43),EXACT(F43,G43)),"Same","DIFF")</f>
        <v>Same</v>
      </c>
    </row>
    <row r="44" customFormat="false" ht="15" hidden="false" customHeight="false" outlineLevel="0" collapsed="false">
      <c r="A44" s="26" t="s">
        <v>581</v>
      </c>
      <c r="B44" s="26" t="n">
        <v>7</v>
      </c>
      <c r="C44" s="26"/>
      <c r="D44" s="26" t="s">
        <v>588</v>
      </c>
      <c r="E44" s="26" t="s">
        <v>588</v>
      </c>
      <c r="F44" s="26" t="s">
        <v>588</v>
      </c>
      <c r="G44" s="26" t="s">
        <v>588</v>
      </c>
      <c r="H44" s="10" t="str">
        <f aca="false">IF(AND(EXACT(D44,E44),EXACT(E44,F44),EXACT(F44,G44)),"Same","DIFF")</f>
        <v>Same</v>
      </c>
    </row>
    <row r="45" customFormat="false" ht="15" hidden="false" customHeight="false" outlineLevel="0" collapsed="false">
      <c r="A45" s="26" t="s">
        <v>581</v>
      </c>
      <c r="B45" s="26" t="n">
        <v>8</v>
      </c>
      <c r="C45" s="26"/>
      <c r="D45" s="26" t="s">
        <v>589</v>
      </c>
      <c r="E45" s="26" t="s">
        <v>589</v>
      </c>
      <c r="F45" s="26" t="s">
        <v>589</v>
      </c>
      <c r="G45" s="26" t="s">
        <v>589</v>
      </c>
      <c r="H45" s="10" t="str">
        <f aca="false">IF(AND(EXACT(D45,E45),EXACT(E45,F45),EXACT(F45,G45)),"Same","DIFF")</f>
        <v>Same</v>
      </c>
    </row>
    <row r="46" customFormat="false" ht="15" hidden="false" customHeight="false" outlineLevel="0" collapsed="false">
      <c r="A46" s="26" t="s">
        <v>581</v>
      </c>
      <c r="B46" s="26" t="n">
        <v>9</v>
      </c>
      <c r="C46" s="26"/>
      <c r="D46" s="26" t="s">
        <v>590</v>
      </c>
      <c r="E46" s="26" t="s">
        <v>590</v>
      </c>
      <c r="F46" s="26" t="s">
        <v>590</v>
      </c>
      <c r="G46" s="26" t="s">
        <v>590</v>
      </c>
      <c r="H46" s="10" t="str">
        <f aca="false">IF(AND(EXACT(D46,E46),EXACT(E46,F46),EXACT(F46,G46)),"Same","DIFF")</f>
        <v>Same</v>
      </c>
    </row>
    <row r="47" customFormat="false" ht="15" hidden="false" customHeight="false" outlineLevel="0" collapsed="false">
      <c r="A47" s="26" t="s">
        <v>581</v>
      </c>
      <c r="B47" s="26" t="n">
        <v>10</v>
      </c>
      <c r="C47" s="26"/>
      <c r="D47" s="26" t="s">
        <v>571</v>
      </c>
      <c r="E47" s="26" t="s">
        <v>571</v>
      </c>
      <c r="F47" s="26" t="s">
        <v>571</v>
      </c>
      <c r="G47" s="26" t="s">
        <v>571</v>
      </c>
      <c r="H47" s="10" t="str">
        <f aca="false">IF(AND(EXACT(D47,E47),EXACT(E47,F47),EXACT(F47,G47)),"Same","DIFF")</f>
        <v>Same</v>
      </c>
    </row>
    <row r="48" customFormat="false" ht="15" hidden="false" customHeight="false" outlineLevel="0" collapsed="false">
      <c r="A48" s="26" t="s">
        <v>581</v>
      </c>
      <c r="B48" s="26" t="n">
        <v>11</v>
      </c>
      <c r="C48" s="26"/>
      <c r="D48" s="26" t="s">
        <v>591</v>
      </c>
      <c r="E48" s="26" t="s">
        <v>591</v>
      </c>
      <c r="F48" s="26" t="s">
        <v>591</v>
      </c>
      <c r="G48" s="26" t="s">
        <v>591</v>
      </c>
      <c r="H48" s="10" t="str">
        <f aca="false">IF(AND(EXACT(D48,E48),EXACT(E48,F48),EXACT(F48,G48)),"Same","DIFF")</f>
        <v>Same</v>
      </c>
    </row>
    <row r="49" customFormat="false" ht="15" hidden="false" customHeight="false" outlineLevel="0" collapsed="false">
      <c r="A49" s="26" t="s">
        <v>581</v>
      </c>
      <c r="B49" s="26" t="n">
        <v>12</v>
      </c>
      <c r="C49" s="26"/>
      <c r="D49" s="26" t="s">
        <v>592</v>
      </c>
      <c r="E49" s="26" t="s">
        <v>592</v>
      </c>
      <c r="F49" s="26" t="s">
        <v>592</v>
      </c>
      <c r="G49" s="26" t="s">
        <v>592</v>
      </c>
      <c r="H49" s="10" t="str">
        <f aca="false">IF(AND(EXACT(D49,E49),EXACT(E49,F49),EXACT(F49,G49)),"Same","DIFF")</f>
        <v>Same</v>
      </c>
    </row>
    <row r="50" customFormat="false" ht="15" hidden="false" customHeight="false" outlineLevel="0" collapsed="false">
      <c r="A50" s="26" t="s">
        <v>581</v>
      </c>
      <c r="B50" s="26" t="n">
        <v>13</v>
      </c>
      <c r="C50" s="26"/>
      <c r="D50" s="26" t="s">
        <v>593</v>
      </c>
      <c r="E50" s="26" t="s">
        <v>593</v>
      </c>
      <c r="F50" s="26" t="s">
        <v>593</v>
      </c>
      <c r="G50" s="26" t="s">
        <v>593</v>
      </c>
      <c r="H50" s="10" t="str">
        <f aca="false">IF(AND(EXACT(D50,E50),EXACT(E50,F50),EXACT(F50,G50)),"Same","DIFF")</f>
        <v>Same</v>
      </c>
    </row>
    <row r="51" customFormat="false" ht="15" hidden="false" customHeight="false" outlineLevel="0" collapsed="false">
      <c r="A51" s="26" t="s">
        <v>581</v>
      </c>
      <c r="B51" s="26" t="n">
        <v>14</v>
      </c>
      <c r="C51" s="26"/>
      <c r="D51" s="26" t="s">
        <v>594</v>
      </c>
      <c r="E51" s="26" t="s">
        <v>594</v>
      </c>
      <c r="F51" s="26" t="s">
        <v>594</v>
      </c>
      <c r="G51" s="26" t="s">
        <v>595</v>
      </c>
      <c r="H51" s="10" t="str">
        <f aca="false">IF(AND(EXACT(D51,E51),EXACT(E51,F51),EXACT(F51,G51)),"Same","DIFF")</f>
        <v>DIFF</v>
      </c>
    </row>
    <row r="52" customFormat="false" ht="15" hidden="false" customHeight="false" outlineLevel="0" collapsed="false">
      <c r="A52" s="26" t="s">
        <v>581</v>
      </c>
      <c r="B52" s="26" t="n">
        <v>15</v>
      </c>
      <c r="C52" s="26"/>
      <c r="D52" s="26" t="s">
        <v>596</v>
      </c>
      <c r="E52" s="26" t="s">
        <v>596</v>
      </c>
      <c r="F52" s="26" t="s">
        <v>137</v>
      </c>
      <c r="G52" s="26" t="s">
        <v>594</v>
      </c>
      <c r="H52" s="10" t="str">
        <f aca="false">IF(AND(EXACT(D52,E52),EXACT(E52,F52),EXACT(F52,G52)),"Same","DIFF")</f>
        <v>DIFF</v>
      </c>
    </row>
    <row r="53" customFormat="false" ht="15" hidden="false" customHeight="false" outlineLevel="0" collapsed="false">
      <c r="A53" s="26" t="s">
        <v>581</v>
      </c>
      <c r="B53" s="26" t="n">
        <v>16</v>
      </c>
      <c r="C53" s="26"/>
      <c r="D53" s="26" t="s">
        <v>597</v>
      </c>
      <c r="E53" s="26" t="s">
        <v>597</v>
      </c>
      <c r="F53" s="26" t="s">
        <v>137</v>
      </c>
      <c r="G53" s="26" t="s">
        <v>137</v>
      </c>
      <c r="H53" s="10" t="str">
        <f aca="false">IF(AND(EXACT(D53,E53),EXACT(E53,F53),EXACT(F53,G53)),"Same","DIFF")</f>
        <v>DIFF</v>
      </c>
    </row>
    <row r="54" customFormat="false" ht="15" hidden="false" customHeight="false" outlineLevel="0" collapsed="false">
      <c r="A54" s="26" t="s">
        <v>581</v>
      </c>
      <c r="B54" s="26" t="n">
        <v>17</v>
      </c>
      <c r="C54" s="26"/>
      <c r="D54" s="26" t="s">
        <v>598</v>
      </c>
      <c r="E54" s="26" t="s">
        <v>598</v>
      </c>
      <c r="F54" s="26" t="s">
        <v>137</v>
      </c>
      <c r="G54" s="26" t="s">
        <v>137</v>
      </c>
      <c r="H54" s="10" t="str">
        <f aca="false">IF(AND(EXACT(D54,E54),EXACT(E54,F54),EXACT(F54,G54)),"Same","DIFF")</f>
        <v>DIFF</v>
      </c>
    </row>
    <row r="55" customFormat="false" ht="15" hidden="false" customHeight="false" outlineLevel="0" collapsed="false">
      <c r="A55" s="26" t="s">
        <v>581</v>
      </c>
      <c r="B55" s="26" t="n">
        <v>18</v>
      </c>
      <c r="C55" s="26"/>
      <c r="D55" s="26" t="s">
        <v>551</v>
      </c>
      <c r="E55" s="26" t="s">
        <v>551</v>
      </c>
      <c r="F55" s="26" t="s">
        <v>551</v>
      </c>
      <c r="G55" s="26" t="s">
        <v>137</v>
      </c>
      <c r="H55" s="10" t="str">
        <f aca="false">IF(AND(EXACT(D55,E55),EXACT(E55,F55),EXACT(F55,G55)),"Same","DIFF")</f>
        <v>DIFF</v>
      </c>
    </row>
    <row r="56" customFormat="false" ht="15" hidden="false" customHeight="false" outlineLevel="0" collapsed="false">
      <c r="A56" s="26" t="s">
        <v>581</v>
      </c>
      <c r="B56" s="26" t="n">
        <v>19</v>
      </c>
      <c r="C56" s="26"/>
      <c r="D56" s="26" t="s">
        <v>599</v>
      </c>
      <c r="E56" s="26" t="s">
        <v>599</v>
      </c>
      <c r="F56" s="26" t="s">
        <v>599</v>
      </c>
      <c r="G56" s="26" t="s">
        <v>600</v>
      </c>
      <c r="H56" s="10" t="str">
        <f aca="false">IF(AND(EXACT(D56,E56),EXACT(E56,F56),EXACT(F56,G56)),"Same","DIFF")</f>
        <v>DIFF</v>
      </c>
    </row>
    <row r="57" customFormat="false" ht="15" hidden="false" customHeight="false" outlineLevel="0" collapsed="false">
      <c r="A57" s="26" t="s">
        <v>581</v>
      </c>
      <c r="B57" s="26" t="n">
        <v>20</v>
      </c>
      <c r="C57" s="26"/>
      <c r="D57" s="26" t="s">
        <v>601</v>
      </c>
      <c r="E57" s="26" t="s">
        <v>601</v>
      </c>
      <c r="F57" s="26" t="s">
        <v>137</v>
      </c>
      <c r="G57" s="26" t="s">
        <v>602</v>
      </c>
      <c r="H57" s="10" t="str">
        <f aca="false">IF(AND(EXACT(D57,E57),EXACT(E57,F57),EXACT(F57,G57)),"Same","DIFF")</f>
        <v>DIFF</v>
      </c>
    </row>
    <row r="58" customFormat="false" ht="15" hidden="false" customHeight="false" outlineLevel="0" collapsed="false">
      <c r="A58" s="26" t="s">
        <v>581</v>
      </c>
      <c r="B58" s="26" t="n">
        <v>21</v>
      </c>
      <c r="C58" s="26"/>
      <c r="D58" s="26" t="s">
        <v>567</v>
      </c>
      <c r="E58" s="26" t="s">
        <v>567</v>
      </c>
      <c r="F58" s="26" t="s">
        <v>567</v>
      </c>
      <c r="G58" s="26" t="s">
        <v>603</v>
      </c>
      <c r="H58" s="10" t="str">
        <f aca="false">IF(AND(EXACT(D58,E58),EXACT(E58,F58),EXACT(F58,G58)),"Same","DIFF")</f>
        <v>DIFF</v>
      </c>
    </row>
    <row r="59" customFormat="false" ht="15" hidden="false" customHeight="false" outlineLevel="0" collapsed="false">
      <c r="A59" s="26" t="s">
        <v>581</v>
      </c>
      <c r="B59" s="26" t="n">
        <v>22</v>
      </c>
      <c r="C59" s="26"/>
      <c r="D59" s="26" t="s">
        <v>567</v>
      </c>
      <c r="E59" s="26" t="s">
        <v>567</v>
      </c>
      <c r="F59" s="26" t="s">
        <v>567</v>
      </c>
      <c r="G59" s="26" t="s">
        <v>604</v>
      </c>
      <c r="H59" s="10" t="str">
        <f aca="false">IF(AND(EXACT(D59,E59),EXACT(E59,F59),EXACT(F59,G59)),"Same","DIFF")</f>
        <v>DIFF</v>
      </c>
    </row>
    <row r="60" customFormat="false" ht="15" hidden="false" customHeight="false" outlineLevel="0" collapsed="false">
      <c r="A60" s="26" t="s">
        <v>581</v>
      </c>
      <c r="B60" s="26" t="n">
        <v>23</v>
      </c>
      <c r="C60" s="26"/>
      <c r="D60" s="26" t="s">
        <v>567</v>
      </c>
      <c r="E60" s="26" t="s">
        <v>567</v>
      </c>
      <c r="F60" s="26" t="s">
        <v>567</v>
      </c>
      <c r="G60" s="26" t="s">
        <v>599</v>
      </c>
      <c r="H60" s="10" t="str">
        <f aca="false">IF(AND(EXACT(D60,E60),EXACT(E60,F60),EXACT(F60,G60)),"Same","DIFF")</f>
        <v>DIFF</v>
      </c>
    </row>
    <row r="61" customFormat="false" ht="15" hidden="false" customHeight="false" outlineLevel="0" collapsed="false">
      <c r="A61" s="26" t="s">
        <v>605</v>
      </c>
      <c r="B61" s="26" t="n">
        <v>1</v>
      </c>
      <c r="C61" s="26"/>
      <c r="D61" s="26" t="s">
        <v>606</v>
      </c>
      <c r="E61" s="26" t="s">
        <v>606</v>
      </c>
      <c r="F61" s="26" t="s">
        <v>606</v>
      </c>
      <c r="G61" s="26" t="s">
        <v>606</v>
      </c>
      <c r="H61" s="10" t="str">
        <f aca="false">IF(AND(EXACT(D61,E61),EXACT(E61,F61),EXACT(F61,G61)),"Same","DIFF")</f>
        <v>Same</v>
      </c>
    </row>
    <row r="62" customFormat="false" ht="15" hidden="false" customHeight="false" outlineLevel="0" collapsed="false">
      <c r="A62" s="26" t="s">
        <v>605</v>
      </c>
      <c r="B62" s="26" t="n">
        <v>2</v>
      </c>
      <c r="C62" s="26"/>
      <c r="D62" s="26" t="s">
        <v>550</v>
      </c>
      <c r="E62" s="26" t="s">
        <v>550</v>
      </c>
      <c r="F62" s="26" t="s">
        <v>550</v>
      </c>
      <c r="G62" s="26" t="s">
        <v>550</v>
      </c>
      <c r="H62" s="10" t="str">
        <f aca="false">IF(AND(EXACT(D62,E62),EXACT(E62,F62),EXACT(F62,G62)),"Same","DIFF")</f>
        <v>Same</v>
      </c>
    </row>
    <row r="63" customFormat="false" ht="15" hidden="false" customHeight="false" outlineLevel="0" collapsed="false">
      <c r="A63" s="26" t="s">
        <v>605</v>
      </c>
      <c r="B63" s="26" t="n">
        <v>3</v>
      </c>
      <c r="C63" s="26"/>
      <c r="D63" s="26" t="s">
        <v>552</v>
      </c>
      <c r="E63" s="26" t="s">
        <v>552</v>
      </c>
      <c r="F63" s="26" t="s">
        <v>552</v>
      </c>
      <c r="G63" s="26" t="s">
        <v>552</v>
      </c>
      <c r="H63" s="10" t="str">
        <f aca="false">IF(AND(EXACT(D63,E63),EXACT(E63,F63),EXACT(F63,G63)),"Same","DIFF")</f>
        <v>Same</v>
      </c>
    </row>
    <row r="64" customFormat="false" ht="15" hidden="false" customHeight="false" outlineLevel="0" collapsed="false">
      <c r="A64" s="26" t="s">
        <v>605</v>
      </c>
      <c r="B64" s="26" t="n">
        <v>4</v>
      </c>
      <c r="C64" s="26"/>
      <c r="D64" s="26" t="s">
        <v>559</v>
      </c>
      <c r="E64" s="26" t="s">
        <v>559</v>
      </c>
      <c r="F64" s="26" t="s">
        <v>559</v>
      </c>
      <c r="G64" s="26" t="s">
        <v>559</v>
      </c>
      <c r="H64" s="10" t="str">
        <f aca="false">IF(AND(EXACT(D64,E64),EXACT(E64,F64),EXACT(F64,G64)),"Same","DIFF")</f>
        <v>Same</v>
      </c>
    </row>
    <row r="65" customFormat="false" ht="15" hidden="false" customHeight="false" outlineLevel="0" collapsed="false">
      <c r="A65" s="26" t="s">
        <v>605</v>
      </c>
      <c r="B65" s="26" t="n">
        <v>5</v>
      </c>
      <c r="C65" s="26"/>
      <c r="D65" s="26" t="s">
        <v>551</v>
      </c>
      <c r="E65" s="26" t="s">
        <v>551</v>
      </c>
      <c r="F65" s="26" t="s">
        <v>551</v>
      </c>
      <c r="G65" s="26" t="s">
        <v>551</v>
      </c>
      <c r="H65" s="10" t="str">
        <f aca="false">IF(AND(EXACT(D65,E65),EXACT(E65,F65),EXACT(F65,G65)),"Same","DIFF")</f>
        <v>Same</v>
      </c>
    </row>
    <row r="66" customFormat="false" ht="15" hidden="false" customHeight="false" outlineLevel="0" collapsed="false">
      <c r="A66" s="26" t="s">
        <v>605</v>
      </c>
      <c r="B66" s="26" t="n">
        <v>6</v>
      </c>
      <c r="C66" s="26"/>
      <c r="D66" s="26" t="s">
        <v>555</v>
      </c>
      <c r="E66" s="26" t="s">
        <v>555</v>
      </c>
      <c r="F66" s="26" t="s">
        <v>555</v>
      </c>
      <c r="G66" s="26" t="s">
        <v>555</v>
      </c>
      <c r="H66" s="10" t="str">
        <f aca="false">IF(AND(EXACT(D66,E66),EXACT(E66,F66),EXACT(F66,G66)),"Same","DIFF")</f>
        <v>Same</v>
      </c>
    </row>
    <row r="67" customFormat="false" ht="15" hidden="false" customHeight="false" outlineLevel="0" collapsed="false">
      <c r="A67" s="26" t="s">
        <v>605</v>
      </c>
      <c r="B67" s="26" t="n">
        <v>7</v>
      </c>
      <c r="C67" s="26"/>
      <c r="D67" s="26" t="s">
        <v>560</v>
      </c>
      <c r="E67" s="26" t="s">
        <v>560</v>
      </c>
      <c r="F67" s="26" t="s">
        <v>560</v>
      </c>
      <c r="G67" s="26" t="s">
        <v>560</v>
      </c>
      <c r="H67" s="10" t="str">
        <f aca="false">IF(AND(EXACT(D67,E67),EXACT(E67,F67),EXACT(F67,G67)),"Same","DIFF")</f>
        <v>Same</v>
      </c>
    </row>
    <row r="68" customFormat="false" ht="15" hidden="false" customHeight="false" outlineLevel="0" collapsed="false">
      <c r="A68" s="26" t="s">
        <v>605</v>
      </c>
      <c r="B68" s="26" t="n">
        <v>8</v>
      </c>
      <c r="C68" s="26"/>
      <c r="D68" s="26" t="s">
        <v>557</v>
      </c>
      <c r="E68" s="26" t="s">
        <v>557</v>
      </c>
      <c r="F68" s="26" t="s">
        <v>557</v>
      </c>
      <c r="G68" s="26" t="s">
        <v>557</v>
      </c>
      <c r="H68" s="10" t="str">
        <f aca="false">IF(AND(EXACT(D68,E68),EXACT(E68,F68),EXACT(F68,G68)),"Same","DIFF")</f>
        <v>Same</v>
      </c>
    </row>
    <row r="69" customFormat="false" ht="15" hidden="false" customHeight="false" outlineLevel="0" collapsed="false">
      <c r="A69" s="26" t="s">
        <v>605</v>
      </c>
      <c r="B69" s="26" t="n">
        <v>9</v>
      </c>
      <c r="C69" s="26"/>
      <c r="D69" s="26" t="s">
        <v>591</v>
      </c>
      <c r="E69" s="26" t="s">
        <v>591</v>
      </c>
      <c r="F69" s="26" t="s">
        <v>591</v>
      </c>
      <c r="G69" s="26" t="s">
        <v>591</v>
      </c>
      <c r="H69" s="10" t="str">
        <f aca="false">IF(AND(EXACT(D69,E69),EXACT(E69,F69),EXACT(F69,G69)),"Same","DIFF")</f>
        <v>Same</v>
      </c>
    </row>
    <row r="70" customFormat="false" ht="15" hidden="false" customHeight="false" outlineLevel="0" collapsed="false">
      <c r="A70" s="26" t="s">
        <v>605</v>
      </c>
      <c r="B70" s="26" t="n">
        <v>10</v>
      </c>
      <c r="C70" s="26"/>
      <c r="D70" s="26" t="s">
        <v>592</v>
      </c>
      <c r="E70" s="26" t="s">
        <v>592</v>
      </c>
      <c r="F70" s="26" t="s">
        <v>592</v>
      </c>
      <c r="G70" s="26" t="s">
        <v>592</v>
      </c>
      <c r="H70" s="10" t="str">
        <f aca="false">IF(AND(EXACT(D70,E70),EXACT(E70,F70),EXACT(F70,G70)),"Same","DIFF")</f>
        <v>Same</v>
      </c>
    </row>
    <row r="71" customFormat="false" ht="15" hidden="false" customHeight="false" outlineLevel="0" collapsed="false">
      <c r="A71" s="26" t="s">
        <v>605</v>
      </c>
      <c r="B71" s="26" t="n">
        <v>11</v>
      </c>
      <c r="C71" s="26"/>
      <c r="D71" s="26" t="s">
        <v>556</v>
      </c>
      <c r="E71" s="26" t="s">
        <v>556</v>
      </c>
      <c r="F71" s="26" t="s">
        <v>556</v>
      </c>
      <c r="G71" s="26" t="s">
        <v>556</v>
      </c>
      <c r="H71" s="10" t="str">
        <f aca="false">IF(AND(EXACT(D71,E71),EXACT(E71,F71),EXACT(F71,G71)),"Same","DIFF")</f>
        <v>Same</v>
      </c>
    </row>
    <row r="72" customFormat="false" ht="15" hidden="false" customHeight="false" outlineLevel="0" collapsed="false">
      <c r="A72" s="26" t="s">
        <v>605</v>
      </c>
      <c r="B72" s="26" t="n">
        <v>12</v>
      </c>
      <c r="C72" s="26"/>
      <c r="D72" s="26" t="s">
        <v>554</v>
      </c>
      <c r="E72" s="26" t="s">
        <v>554</v>
      </c>
      <c r="F72" s="26" t="s">
        <v>554</v>
      </c>
      <c r="G72" s="26" t="s">
        <v>554</v>
      </c>
      <c r="H72" s="10" t="str">
        <f aca="false">IF(AND(EXACT(D72,E72),EXACT(E72,F72),EXACT(F72,G72)),"Same","DIFF")</f>
        <v>Same</v>
      </c>
    </row>
    <row r="73" customFormat="false" ht="15" hidden="false" customHeight="false" outlineLevel="0" collapsed="false">
      <c r="A73" s="26" t="s">
        <v>605</v>
      </c>
      <c r="B73" s="26" t="n">
        <v>13</v>
      </c>
      <c r="C73" s="26"/>
      <c r="D73" s="26" t="s">
        <v>607</v>
      </c>
      <c r="E73" s="26" t="s">
        <v>607</v>
      </c>
      <c r="F73" s="26" t="s">
        <v>607</v>
      </c>
      <c r="G73" s="26" t="s">
        <v>607</v>
      </c>
      <c r="H73" s="10" t="str">
        <f aca="false">IF(AND(EXACT(D73,E73),EXACT(E73,F73),EXACT(F73,G73)),"Same","DIFF")</f>
        <v>Same</v>
      </c>
    </row>
    <row r="74" customFormat="false" ht="15" hidden="false" customHeight="false" outlineLevel="0" collapsed="false">
      <c r="A74" s="26" t="s">
        <v>605</v>
      </c>
      <c r="B74" s="26" t="n">
        <v>14</v>
      </c>
      <c r="C74" s="26"/>
      <c r="D74" s="26" t="s">
        <v>608</v>
      </c>
      <c r="E74" s="26" t="s">
        <v>608</v>
      </c>
      <c r="F74" s="26" t="s">
        <v>608</v>
      </c>
      <c r="G74" s="26" t="s">
        <v>608</v>
      </c>
      <c r="H74" s="10" t="str">
        <f aca="false">IF(AND(EXACT(D74,E74),EXACT(E74,F74),EXACT(F74,G74)),"Same","DIFF")</f>
        <v>Same</v>
      </c>
    </row>
    <row r="75" customFormat="false" ht="15" hidden="false" customHeight="false" outlineLevel="0" collapsed="false">
      <c r="A75" s="26" t="s">
        <v>605</v>
      </c>
      <c r="B75" s="26" t="n">
        <v>15</v>
      </c>
      <c r="C75" s="26"/>
      <c r="D75" s="26" t="s">
        <v>609</v>
      </c>
      <c r="E75" s="26" t="s">
        <v>609</v>
      </c>
      <c r="F75" s="26" t="s">
        <v>609</v>
      </c>
      <c r="G75" s="26" t="s">
        <v>609</v>
      </c>
      <c r="H75" s="10" t="str">
        <f aca="false">IF(AND(EXACT(D75,E75),EXACT(E75,F75),EXACT(F75,G75)),"Same","DIFF")</f>
        <v>Same</v>
      </c>
    </row>
    <row r="76" customFormat="false" ht="15" hidden="false" customHeight="false" outlineLevel="0" collapsed="false">
      <c r="A76" s="26" t="s">
        <v>605</v>
      </c>
      <c r="B76" s="26" t="n">
        <v>16</v>
      </c>
      <c r="C76" s="26"/>
      <c r="D76" s="26" t="s">
        <v>610</v>
      </c>
      <c r="E76" s="26" t="s">
        <v>610</v>
      </c>
      <c r="F76" s="26" t="s">
        <v>610</v>
      </c>
      <c r="G76" s="26" t="s">
        <v>610</v>
      </c>
      <c r="H76" s="10" t="str">
        <f aca="false">IF(AND(EXACT(D76,E76),EXACT(E76,F76),EXACT(F76,G76)),"Same","DIFF")</f>
        <v>Same</v>
      </c>
    </row>
    <row r="77" customFormat="false" ht="15" hidden="false" customHeight="false" outlineLevel="0" collapsed="false">
      <c r="A77" s="26" t="s">
        <v>605</v>
      </c>
      <c r="B77" s="26" t="n">
        <v>17</v>
      </c>
      <c r="C77" s="26"/>
      <c r="D77" s="26" t="s">
        <v>611</v>
      </c>
      <c r="E77" s="26" t="s">
        <v>611</v>
      </c>
      <c r="F77" s="26" t="s">
        <v>611</v>
      </c>
      <c r="G77" s="26" t="s">
        <v>611</v>
      </c>
      <c r="H77" s="10" t="str">
        <f aca="false">IF(AND(EXACT(D77,E77),EXACT(E77,F77),EXACT(F77,G77)),"Same","DIFF")</f>
        <v>Same</v>
      </c>
    </row>
    <row r="78" customFormat="false" ht="15" hidden="false" customHeight="false" outlineLevel="0" collapsed="false">
      <c r="A78" s="26" t="s">
        <v>605</v>
      </c>
      <c r="B78" s="26" t="n">
        <v>18</v>
      </c>
      <c r="C78" s="26"/>
      <c r="D78" s="26" t="s">
        <v>612</v>
      </c>
      <c r="E78" s="26" t="s">
        <v>612</v>
      </c>
      <c r="F78" s="26" t="s">
        <v>612</v>
      </c>
      <c r="G78" s="26" t="s">
        <v>612</v>
      </c>
      <c r="H78" s="10" t="str">
        <f aca="false">IF(AND(EXACT(D78,E78),EXACT(E78,F78),EXACT(F78,G78)),"Same","DIFF")</f>
        <v>Same</v>
      </c>
    </row>
    <row r="79" customFormat="false" ht="15" hidden="false" customHeight="false" outlineLevel="0" collapsed="false">
      <c r="A79" s="26" t="s">
        <v>605</v>
      </c>
      <c r="B79" s="26" t="n">
        <v>19</v>
      </c>
      <c r="C79" s="26"/>
      <c r="D79" s="26" t="s">
        <v>568</v>
      </c>
      <c r="E79" s="26" t="s">
        <v>568</v>
      </c>
      <c r="F79" s="26" t="s">
        <v>568</v>
      </c>
      <c r="G79" s="26" t="s">
        <v>137</v>
      </c>
      <c r="H79" s="10" t="str">
        <f aca="false">IF(AND(EXACT(D79,E79),EXACT(E79,F79),EXACT(F79,G79)),"Same","DIFF")</f>
        <v>DIFF</v>
      </c>
    </row>
    <row r="80" customFormat="false" ht="15" hidden="false" customHeight="false" outlineLevel="0" collapsed="false">
      <c r="A80" s="26" t="s">
        <v>605</v>
      </c>
      <c r="B80" s="26" t="n">
        <v>20</v>
      </c>
      <c r="C80" s="26"/>
      <c r="D80" s="26" t="s">
        <v>569</v>
      </c>
      <c r="E80" s="26" t="s">
        <v>569</v>
      </c>
      <c r="F80" s="26" t="s">
        <v>569</v>
      </c>
      <c r="G80" s="26" t="s">
        <v>137</v>
      </c>
      <c r="H80" s="10" t="str">
        <f aca="false">IF(AND(EXACT(D80,E80),EXACT(E80,F80),EXACT(F80,G80)),"Same","DIFF")</f>
        <v>DIFF</v>
      </c>
    </row>
    <row r="81" customFormat="false" ht="15" hidden="false" customHeight="false" outlineLevel="0" collapsed="false">
      <c r="A81" s="26" t="s">
        <v>605</v>
      </c>
      <c r="B81" s="26" t="n">
        <v>21</v>
      </c>
      <c r="C81" s="26"/>
      <c r="D81" s="26" t="s">
        <v>613</v>
      </c>
      <c r="E81" s="26" t="s">
        <v>614</v>
      </c>
      <c r="F81" s="26" t="s">
        <v>613</v>
      </c>
      <c r="G81" s="26" t="s">
        <v>613</v>
      </c>
      <c r="H81" s="10" t="str">
        <f aca="false">IF(AND(EXACT(D81,E81),EXACT(E81,F81),EXACT(F81,G81)),"Same","DIFF")</f>
        <v>DIFF</v>
      </c>
    </row>
    <row r="82" customFormat="false" ht="15" hidden="false" customHeight="false" outlineLevel="0" collapsed="false">
      <c r="A82" s="26" t="s">
        <v>605</v>
      </c>
      <c r="B82" s="26" t="n">
        <v>22</v>
      </c>
      <c r="C82" s="26"/>
      <c r="D82" s="26" t="s">
        <v>615</v>
      </c>
      <c r="E82" s="26" t="s">
        <v>567</v>
      </c>
      <c r="F82" s="26" t="s">
        <v>615</v>
      </c>
      <c r="G82" s="26" t="s">
        <v>616</v>
      </c>
      <c r="H82" s="10" t="str">
        <f aca="false">IF(AND(EXACT(D82,E82),EXACT(E82,F82),EXACT(F82,G82)),"Same","DIFF")</f>
        <v>DIFF</v>
      </c>
    </row>
    <row r="83" customFormat="false" ht="15" hidden="false" customHeight="false" outlineLevel="0" collapsed="false">
      <c r="A83" s="26" t="s">
        <v>605</v>
      </c>
      <c r="B83" s="26" t="n">
        <v>23</v>
      </c>
      <c r="C83" s="26"/>
      <c r="D83" s="26" t="s">
        <v>567</v>
      </c>
      <c r="E83" s="26" t="s">
        <v>567</v>
      </c>
      <c r="F83" s="26" t="s">
        <v>567</v>
      </c>
      <c r="G83" s="26" t="s">
        <v>617</v>
      </c>
      <c r="H83" s="10" t="str">
        <f aca="false">IF(AND(EXACT(D83,E83),EXACT(E83,F83),EXACT(F83,G83)),"Same","DIFF")</f>
        <v>DIFF</v>
      </c>
    </row>
  </sheetData>
  <autoFilter ref="A1:H83"/>
  <conditionalFormatting sqref="E2:G83">
    <cfRule type="expression" priority="2" aboveAverage="0" equalAverage="0" bottom="0" percent="0" rank="0" text="" dxfId="3">
      <formula>NOT(EXACT(E2,$D2))</formula>
    </cfRule>
  </conditionalFormatting>
  <conditionalFormatting sqref="H2:H83">
    <cfRule type="expression" priority="3" aboveAverage="0" equalAverage="0" bottom="0" percent="0" rank="0" text="" dxfId="11">
      <formula>$H2="DIFF"</formula>
    </cfRule>
  </conditionalFormatting>
  <conditionalFormatting sqref="D2:G83">
    <cfRule type="expression" priority="4" aboveAverage="0" equalAverage="0" bottom="0" percent="0" rank="0" text="" dxfId="12">
      <formula>OR(D2="(absent)",D2="(null)")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4"/>
    <col collapsed="false" customWidth="true" hidden="false" outlineLevel="0" max="7" min="4" style="0" width="28"/>
    <col collapsed="false" customWidth="true" hidden="false" outlineLevel="0" max="8" min="8" style="0" width="10"/>
  </cols>
  <sheetData>
    <row r="1" customFormat="false" ht="30" hidden="false" customHeight="true" outlineLevel="0" collapsed="false">
      <c r="A1" s="20" t="s">
        <v>618</v>
      </c>
      <c r="B1" s="20"/>
      <c r="C1" s="20"/>
      <c r="D1" s="20" t="s">
        <v>90</v>
      </c>
      <c r="E1" s="20" t="s">
        <v>13</v>
      </c>
      <c r="F1" s="20" t="s">
        <v>14</v>
      </c>
      <c r="G1" s="20" t="s">
        <v>15</v>
      </c>
      <c r="H1" s="20" t="s">
        <v>77</v>
      </c>
    </row>
    <row r="2" customFormat="false" ht="15" hidden="false" customHeight="false" outlineLevel="0" collapsed="false">
      <c r="A2" s="26" t="s">
        <v>619</v>
      </c>
      <c r="B2" s="26"/>
      <c r="C2" s="26"/>
      <c r="D2" s="26" t="s">
        <v>211</v>
      </c>
      <c r="E2" s="26" t="s">
        <v>211</v>
      </c>
      <c r="F2" s="26" t="s">
        <v>211</v>
      </c>
      <c r="G2" s="26" t="s">
        <v>212</v>
      </c>
      <c r="H2" s="10" t="str">
        <f aca="false">IF(AND(EXACT(D2,E2),EXACT(E2,F2),EXACT(F2,G2)),"Same","DIFF")</f>
        <v>DIFF</v>
      </c>
    </row>
    <row r="3" customFormat="false" ht="15" hidden="false" customHeight="false" outlineLevel="0" collapsed="false">
      <c r="A3" s="26" t="s">
        <v>620</v>
      </c>
      <c r="B3" s="26"/>
      <c r="C3" s="26"/>
      <c r="D3" s="26" t="s">
        <v>221</v>
      </c>
      <c r="E3" s="26" t="s">
        <v>211</v>
      </c>
      <c r="F3" s="26" t="s">
        <v>221</v>
      </c>
      <c r="G3" s="26" t="s">
        <v>211</v>
      </c>
      <c r="H3" s="10" t="str">
        <f aca="false">IF(AND(EXACT(D3,E3),EXACT(E3,F3),EXACT(F3,G3)),"Same","DIFF")</f>
        <v>DIFF</v>
      </c>
    </row>
    <row r="4" customFormat="false" ht="15" hidden="false" customHeight="false" outlineLevel="0" collapsed="false">
      <c r="A4" s="26" t="s">
        <v>621</v>
      </c>
      <c r="B4" s="26"/>
      <c r="C4" s="26"/>
      <c r="D4" s="26" t="s">
        <v>104</v>
      </c>
      <c r="E4" s="26" t="s">
        <v>104</v>
      </c>
      <c r="F4" s="26" t="s">
        <v>104</v>
      </c>
      <c r="G4" s="26" t="s">
        <v>212</v>
      </c>
      <c r="H4" s="10" t="str">
        <f aca="false">IF(AND(EXACT(D4,E4),EXACT(E4,F4),EXACT(F4,G4)),"Same","DIFF")</f>
        <v>DIFF</v>
      </c>
    </row>
    <row r="5" customFormat="false" ht="15" hidden="false" customHeight="false" outlineLevel="0" collapsed="false">
      <c r="A5" s="26" t="s">
        <v>622</v>
      </c>
      <c r="B5" s="26"/>
      <c r="C5" s="26"/>
      <c r="D5" s="26" t="s">
        <v>178</v>
      </c>
      <c r="E5" s="26" t="s">
        <v>104</v>
      </c>
      <c r="F5" s="26" t="s">
        <v>178</v>
      </c>
      <c r="G5" s="26" t="s">
        <v>104</v>
      </c>
      <c r="H5" s="10" t="str">
        <f aca="false">IF(AND(EXACT(D5,E5),EXACT(E5,F5),EXACT(F5,G5)),"Same","DIFF")</f>
        <v>DIFF</v>
      </c>
    </row>
    <row r="6" customFormat="false" ht="15" hidden="false" customHeight="false" outlineLevel="0" collapsed="false">
      <c r="A6" s="26" t="s">
        <v>623</v>
      </c>
      <c r="B6" s="26"/>
      <c r="C6" s="26"/>
      <c r="D6" s="26" t="s">
        <v>220</v>
      </c>
      <c r="E6" s="26" t="s">
        <v>220</v>
      </c>
      <c r="F6" s="26" t="s">
        <v>220</v>
      </c>
      <c r="G6" s="26" t="s">
        <v>220</v>
      </c>
      <c r="H6" s="10" t="str">
        <f aca="false">IF(AND(EXACT(D6,E6),EXACT(E6,F6),EXACT(F6,G6)),"Same","DIFF")</f>
        <v>Same</v>
      </c>
    </row>
    <row r="7" customFormat="false" ht="15" hidden="false" customHeight="false" outlineLevel="0" collapsed="false">
      <c r="A7" s="26" t="s">
        <v>624</v>
      </c>
      <c r="B7" s="26"/>
      <c r="C7" s="26"/>
      <c r="D7" s="26" t="s">
        <v>104</v>
      </c>
      <c r="E7" s="26" t="s">
        <v>215</v>
      </c>
      <c r="F7" s="26" t="s">
        <v>104</v>
      </c>
      <c r="G7" s="26" t="s">
        <v>101</v>
      </c>
      <c r="H7" s="10" t="str">
        <f aca="false">IF(AND(EXACT(D7,E7),EXACT(E7,F7),EXACT(F7,G7)),"Same","DIFF")</f>
        <v>DIFF</v>
      </c>
    </row>
    <row r="8" customFormat="false" ht="15" hidden="false" customHeight="false" outlineLevel="0" collapsed="false">
      <c r="A8" s="26" t="s">
        <v>625</v>
      </c>
      <c r="B8" s="26"/>
      <c r="C8" s="26"/>
      <c r="D8" s="26" t="s">
        <v>137</v>
      </c>
      <c r="E8" s="26" t="s">
        <v>215</v>
      </c>
      <c r="F8" s="26" t="s">
        <v>137</v>
      </c>
      <c r="G8" s="26" t="s">
        <v>137</v>
      </c>
      <c r="H8" s="10" t="str">
        <f aca="false">IF(AND(EXACT(D8,E8),EXACT(E8,F8),EXACT(F8,G8)),"Same","DIFF")</f>
        <v>DIFF</v>
      </c>
    </row>
    <row r="9" customFormat="false" ht="15" hidden="false" customHeight="false" outlineLevel="0" collapsed="false">
      <c r="A9" s="26" t="s">
        <v>626</v>
      </c>
      <c r="B9" s="26"/>
      <c r="C9" s="26"/>
      <c r="D9" s="26" t="s">
        <v>104</v>
      </c>
      <c r="E9" s="26" t="s">
        <v>104</v>
      </c>
      <c r="F9" s="26" t="s">
        <v>104</v>
      </c>
      <c r="G9" s="26" t="s">
        <v>222</v>
      </c>
      <c r="H9" s="10" t="str">
        <f aca="false">IF(AND(EXACT(D9,E9),EXACT(E9,F9),EXACT(F9,G9)),"Same","DIFF")</f>
        <v>DIFF</v>
      </c>
    </row>
    <row r="10" customFormat="false" ht="15" hidden="false" customHeight="false" outlineLevel="0" collapsed="false">
      <c r="A10" s="26" t="s">
        <v>627</v>
      </c>
      <c r="B10" s="26"/>
      <c r="C10" s="26"/>
      <c r="D10" s="26" t="s">
        <v>123</v>
      </c>
      <c r="E10" s="26" t="s">
        <v>104</v>
      </c>
      <c r="F10" s="26" t="s">
        <v>104</v>
      </c>
      <c r="G10" s="26" t="s">
        <v>104</v>
      </c>
      <c r="H10" s="10" t="str">
        <f aca="false">IF(AND(EXACT(D10,E10),EXACT(E10,F10),EXACT(F10,G10)),"Same","DIFF")</f>
        <v>DIFF</v>
      </c>
    </row>
    <row r="11" customFormat="false" ht="15" hidden="false" customHeight="false" outlineLevel="0" collapsed="false">
      <c r="A11" s="26" t="s">
        <v>628</v>
      </c>
      <c r="B11" s="26"/>
      <c r="C11" s="26"/>
      <c r="D11" s="26" t="s">
        <v>144</v>
      </c>
      <c r="E11" s="26" t="s">
        <v>144</v>
      </c>
      <c r="F11" s="26" t="s">
        <v>144</v>
      </c>
      <c r="G11" s="26" t="s">
        <v>137</v>
      </c>
      <c r="H11" s="10" t="str">
        <f aca="false">IF(AND(EXACT(D11,E11),EXACT(E11,F11),EXACT(F11,G11)),"Same","DIFF")</f>
        <v>DIFF</v>
      </c>
    </row>
    <row r="12" customFormat="false" ht="15" hidden="false" customHeight="false" outlineLevel="0" collapsed="false">
      <c r="A12" s="26" t="s">
        <v>629</v>
      </c>
      <c r="B12" s="26"/>
      <c r="C12" s="26"/>
      <c r="D12" s="26" t="s">
        <v>630</v>
      </c>
      <c r="E12" s="26" t="s">
        <v>215</v>
      </c>
      <c r="F12" s="26" t="s">
        <v>567</v>
      </c>
      <c r="G12" s="26" t="s">
        <v>567</v>
      </c>
      <c r="H12" s="10" t="str">
        <f aca="false">IF(AND(EXACT(D12,E12),EXACT(E12,F12),EXACT(F12,G12)),"Same","DIFF")</f>
        <v>DIFF</v>
      </c>
    </row>
    <row r="13" customFormat="false" ht="15" hidden="false" customHeight="false" outlineLevel="0" collapsed="false">
      <c r="A13" s="26" t="s">
        <v>631</v>
      </c>
      <c r="B13" s="26"/>
      <c r="C13" s="26"/>
      <c r="D13" s="26" t="s">
        <v>632</v>
      </c>
      <c r="E13" s="26" t="s">
        <v>134</v>
      </c>
      <c r="F13" s="26" t="s">
        <v>633</v>
      </c>
      <c r="G13" s="26" t="s">
        <v>633</v>
      </c>
      <c r="H13" s="10" t="str">
        <f aca="false">IF(AND(EXACT(D13,E13),EXACT(E13,F13),EXACT(F13,G13)),"Same","DIFF")</f>
        <v>DIFF</v>
      </c>
    </row>
    <row r="14" customFormat="false" ht="15" hidden="false" customHeight="false" outlineLevel="0" collapsed="false">
      <c r="A14" s="26" t="s">
        <v>634</v>
      </c>
      <c r="B14" s="26"/>
      <c r="C14" s="26"/>
      <c r="D14" s="26" t="s">
        <v>567</v>
      </c>
      <c r="E14" s="26" t="s">
        <v>635</v>
      </c>
      <c r="F14" s="26" t="s">
        <v>567</v>
      </c>
      <c r="G14" s="26" t="s">
        <v>567</v>
      </c>
      <c r="H14" s="10" t="str">
        <f aca="false">IF(AND(EXACT(D14,E14),EXACT(E14,F14),EXACT(F14,G14)),"Same","DIFF")</f>
        <v>DIFF</v>
      </c>
    </row>
    <row r="15" customFormat="false" ht="15" hidden="false" customHeight="false" outlineLevel="0" collapsed="false">
      <c r="A15" s="26" t="s">
        <v>636</v>
      </c>
      <c r="B15" s="26"/>
      <c r="C15" s="26"/>
      <c r="D15" s="26" t="s">
        <v>632</v>
      </c>
      <c r="E15" s="26" t="s">
        <v>637</v>
      </c>
      <c r="F15" s="26" t="s">
        <v>633</v>
      </c>
      <c r="G15" s="26" t="s">
        <v>633</v>
      </c>
      <c r="H15" s="10" t="str">
        <f aca="false">IF(AND(EXACT(D15,E15),EXACT(E15,F15),EXACT(F15,G15)),"Same","DIFF")</f>
        <v>DIFF</v>
      </c>
    </row>
    <row r="16" customFormat="false" ht="15" hidden="false" customHeight="false" outlineLevel="0" collapsed="false">
      <c r="A16" s="26" t="s">
        <v>638</v>
      </c>
      <c r="B16" s="26"/>
      <c r="C16" s="26"/>
      <c r="D16" s="26" t="s">
        <v>632</v>
      </c>
      <c r="E16" s="26" t="s">
        <v>637</v>
      </c>
      <c r="F16" s="26" t="s">
        <v>633</v>
      </c>
      <c r="G16" s="26" t="s">
        <v>633</v>
      </c>
      <c r="H16" s="10" t="str">
        <f aca="false">IF(AND(EXACT(D16,E16),EXACT(E16,F16),EXACT(F16,G16)),"Same","DIFF")</f>
        <v>DIFF</v>
      </c>
    </row>
    <row r="17" customFormat="false" ht="15" hidden="false" customHeight="false" outlineLevel="0" collapsed="false">
      <c r="A17" s="26" t="s">
        <v>639</v>
      </c>
      <c r="B17" s="26"/>
      <c r="C17" s="26"/>
      <c r="D17" s="26" t="s">
        <v>640</v>
      </c>
      <c r="E17" s="26" t="s">
        <v>641</v>
      </c>
      <c r="F17" s="26" t="s">
        <v>567</v>
      </c>
      <c r="G17" s="26" t="s">
        <v>567</v>
      </c>
      <c r="H17" s="10" t="str">
        <f aca="false">IF(AND(EXACT(D17,E17),EXACT(E17,F17),EXACT(F17,G17)),"Same","DIFF")</f>
        <v>DIFF</v>
      </c>
    </row>
    <row r="18" customFormat="false" ht="23.85" hidden="false" customHeight="false" outlineLevel="0" collapsed="false">
      <c r="A18" s="26" t="s">
        <v>642</v>
      </c>
      <c r="B18" s="26"/>
      <c r="C18" s="26"/>
      <c r="D18" s="26" t="s">
        <v>643</v>
      </c>
      <c r="E18" s="26" t="s">
        <v>644</v>
      </c>
      <c r="F18" s="26" t="s">
        <v>567</v>
      </c>
      <c r="G18" s="26" t="s">
        <v>567</v>
      </c>
      <c r="H18" s="10" t="str">
        <f aca="false">IF(AND(EXACT(D18,E18),EXACT(E18,F18),EXACT(F18,G18)),"Same","DIFF")</f>
        <v>DIFF</v>
      </c>
    </row>
  </sheetData>
  <autoFilter ref="A1:H18"/>
  <conditionalFormatting sqref="E2:G18">
    <cfRule type="expression" priority="2" aboveAverage="0" equalAverage="0" bottom="0" percent="0" rank="0" text="" dxfId="3">
      <formula>NOT(EXACT(E2,$D2))</formula>
    </cfRule>
  </conditionalFormatting>
  <conditionalFormatting sqref="H2:H18">
    <cfRule type="expression" priority="3" aboveAverage="0" equalAverage="0" bottom="0" percent="0" rank="0" text="" dxfId="11">
      <formula>$H2="DIFF"</formula>
    </cfRule>
  </conditionalFormatting>
  <conditionalFormatting sqref="D2:G18">
    <cfRule type="expression" priority="4" aboveAverage="0" equalAverage="0" bottom="0" percent="0" rank="0" text="" dxfId="12">
      <formula>OR(D2="(absent)",D2="(null)")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34"/>
    <col collapsed="false" customWidth="true" hidden="false" outlineLevel="0" max="7" min="4" style="0" width="20"/>
    <col collapsed="false" customWidth="true" hidden="false" outlineLevel="0" max="8" min="8" style="0" width="10"/>
  </cols>
  <sheetData>
    <row r="1" customFormat="false" ht="30" hidden="false" customHeight="true" outlineLevel="0" collapsed="false">
      <c r="A1" s="20" t="s">
        <v>618</v>
      </c>
      <c r="B1" s="20" t="s">
        <v>645</v>
      </c>
      <c r="C1" s="20" t="s">
        <v>646</v>
      </c>
      <c r="D1" s="20" t="s">
        <v>90</v>
      </c>
      <c r="E1" s="20" t="s">
        <v>13</v>
      </c>
      <c r="F1" s="20" t="s">
        <v>14</v>
      </c>
      <c r="G1" s="20" t="s">
        <v>15</v>
      </c>
      <c r="H1" s="20" t="s">
        <v>77</v>
      </c>
    </row>
    <row r="2" customFormat="false" ht="15" hidden="false" customHeight="false" outlineLevel="0" collapsed="false">
      <c r="A2" s="26" t="s">
        <v>97</v>
      </c>
      <c r="B2" s="26" t="s">
        <v>307</v>
      </c>
      <c r="C2" s="26" t="s">
        <v>647</v>
      </c>
      <c r="D2" s="26" t="s">
        <v>648</v>
      </c>
      <c r="E2" s="26" t="s">
        <v>648</v>
      </c>
      <c r="F2" s="26" t="s">
        <v>648</v>
      </c>
      <c r="G2" s="26" t="s">
        <v>648</v>
      </c>
      <c r="H2" s="10" t="str">
        <f aca="false">IF(AND(EXACT(D2,E2),EXACT(E2,F2),EXACT(F2,G2)),"Same","DIFF")</f>
        <v>Same</v>
      </c>
    </row>
    <row r="3" customFormat="false" ht="15" hidden="false" customHeight="false" outlineLevel="0" collapsed="false">
      <c r="A3" s="26" t="s">
        <v>97</v>
      </c>
      <c r="B3" s="26" t="s">
        <v>138</v>
      </c>
      <c r="C3" s="26"/>
      <c r="D3" s="26" t="s">
        <v>649</v>
      </c>
      <c r="E3" s="26" t="s">
        <v>649</v>
      </c>
      <c r="F3" s="26" t="s">
        <v>649</v>
      </c>
      <c r="G3" s="26" t="s">
        <v>649</v>
      </c>
      <c r="H3" s="10" t="str">
        <f aca="false">IF(AND(EXACT(D3,E3),EXACT(E3,F3),EXACT(F3,G3)),"Same","DIFF")</f>
        <v>Same</v>
      </c>
    </row>
    <row r="4" customFormat="false" ht="15" hidden="false" customHeight="false" outlineLevel="0" collapsed="false">
      <c r="A4" s="26" t="s">
        <v>97</v>
      </c>
      <c r="B4" s="26" t="s">
        <v>101</v>
      </c>
      <c r="C4" s="26" t="s">
        <v>650</v>
      </c>
      <c r="D4" s="26" t="s">
        <v>649</v>
      </c>
      <c r="E4" s="26" t="s">
        <v>649</v>
      </c>
      <c r="F4" s="26" t="s">
        <v>649</v>
      </c>
      <c r="G4" s="26" t="s">
        <v>649</v>
      </c>
      <c r="H4" s="10" t="str">
        <f aca="false">IF(AND(EXACT(D4,E4),EXACT(E4,F4),EXACT(F4,G4)),"Same","DIFF")</f>
        <v>Same</v>
      </c>
    </row>
    <row r="5" customFormat="false" ht="15" hidden="false" customHeight="false" outlineLevel="0" collapsed="false">
      <c r="A5" s="26" t="s">
        <v>97</v>
      </c>
      <c r="B5" s="26" t="s">
        <v>222</v>
      </c>
      <c r="C5" s="26" t="s">
        <v>651</v>
      </c>
      <c r="D5" s="26" t="s">
        <v>649</v>
      </c>
      <c r="E5" s="26" t="s">
        <v>104</v>
      </c>
      <c r="F5" s="26" t="s">
        <v>104</v>
      </c>
      <c r="G5" s="26" t="s">
        <v>649</v>
      </c>
      <c r="H5" s="10" t="str">
        <f aca="false">IF(AND(EXACT(D5,E5),EXACT(E5,F5),EXACT(F5,G5)),"Same","DIFF")</f>
        <v>DIFF</v>
      </c>
    </row>
    <row r="6" customFormat="false" ht="15" hidden="false" customHeight="false" outlineLevel="0" collapsed="false">
      <c r="A6" s="26" t="s">
        <v>652</v>
      </c>
      <c r="B6" s="26" t="s">
        <v>653</v>
      </c>
      <c r="C6" s="26" t="s">
        <v>654</v>
      </c>
      <c r="D6" s="26" t="s">
        <v>104</v>
      </c>
      <c r="E6" s="26" t="s">
        <v>104</v>
      </c>
      <c r="F6" s="26" t="s">
        <v>104</v>
      </c>
      <c r="G6" s="26" t="s">
        <v>655</v>
      </c>
      <c r="H6" s="10" t="str">
        <f aca="false">IF(AND(EXACT(D6,E6),EXACT(E6,F6),EXACT(F6,G6)),"Same","DIFF")</f>
        <v>DIFF</v>
      </c>
    </row>
    <row r="7" customFormat="false" ht="15" hidden="false" customHeight="false" outlineLevel="0" collapsed="false">
      <c r="A7" s="26" t="s">
        <v>652</v>
      </c>
      <c r="B7" s="26" t="s">
        <v>656</v>
      </c>
      <c r="C7" s="26" t="s">
        <v>654</v>
      </c>
      <c r="D7" s="26" t="s">
        <v>104</v>
      </c>
      <c r="E7" s="26" t="s">
        <v>104</v>
      </c>
      <c r="F7" s="26" t="s">
        <v>104</v>
      </c>
      <c r="G7" s="26" t="s">
        <v>657</v>
      </c>
      <c r="H7" s="10" t="str">
        <f aca="false">IF(AND(EXACT(D7,E7),EXACT(E7,F7),EXACT(F7,G7)),"Same","DIFF")</f>
        <v>DIFF</v>
      </c>
    </row>
    <row r="8" customFormat="false" ht="15" hidden="false" customHeight="false" outlineLevel="0" collapsed="false">
      <c r="A8" s="26" t="s">
        <v>658</v>
      </c>
      <c r="B8" s="26" t="s">
        <v>659</v>
      </c>
      <c r="C8" s="26"/>
      <c r="D8" s="26" t="s">
        <v>660</v>
      </c>
      <c r="E8" s="26" t="s">
        <v>660</v>
      </c>
      <c r="F8" s="26" t="s">
        <v>104</v>
      </c>
      <c r="G8" s="26" t="s">
        <v>660</v>
      </c>
      <c r="H8" s="10" t="str">
        <f aca="false">IF(AND(EXACT(D8,E8),EXACT(E8,F8),EXACT(F8,G8)),"Same","DIFF")</f>
        <v>DIFF</v>
      </c>
    </row>
    <row r="9" customFormat="false" ht="15" hidden="false" customHeight="false" outlineLevel="0" collapsed="false">
      <c r="A9" s="26" t="s">
        <v>658</v>
      </c>
      <c r="B9" s="26" t="s">
        <v>661</v>
      </c>
      <c r="C9" s="26"/>
      <c r="D9" s="26" t="s">
        <v>104</v>
      </c>
      <c r="E9" s="26" t="s">
        <v>104</v>
      </c>
      <c r="F9" s="26" t="s">
        <v>104</v>
      </c>
      <c r="G9" s="26" t="s">
        <v>662</v>
      </c>
      <c r="H9" s="10" t="str">
        <f aca="false">IF(AND(EXACT(D9,E9),EXACT(E9,F9),EXACT(F9,G9)),"Same","DIFF")</f>
        <v>DIFF</v>
      </c>
    </row>
    <row r="10" customFormat="false" ht="15" hidden="false" customHeight="false" outlineLevel="0" collapsed="false">
      <c r="A10" s="26" t="s">
        <v>663</v>
      </c>
      <c r="B10" s="26" t="s">
        <v>664</v>
      </c>
      <c r="C10" s="26"/>
      <c r="D10" s="26" t="s">
        <v>665</v>
      </c>
      <c r="E10" s="26" t="s">
        <v>665</v>
      </c>
      <c r="F10" s="26" t="s">
        <v>665</v>
      </c>
      <c r="G10" s="26" t="s">
        <v>665</v>
      </c>
      <c r="H10" s="10" t="str">
        <f aca="false">IF(AND(EXACT(D10,E10),EXACT(E10,F10),EXACT(F10,G10)),"Same","DIFF")</f>
        <v>Same</v>
      </c>
    </row>
    <row r="11" customFormat="false" ht="15" hidden="false" customHeight="false" outlineLevel="0" collapsed="false">
      <c r="A11" s="26" t="s">
        <v>663</v>
      </c>
      <c r="B11" s="26" t="s">
        <v>666</v>
      </c>
      <c r="C11" s="26"/>
      <c r="D11" s="26" t="s">
        <v>665</v>
      </c>
      <c r="E11" s="26" t="s">
        <v>665</v>
      </c>
      <c r="F11" s="26" t="s">
        <v>665</v>
      </c>
      <c r="G11" s="26" t="s">
        <v>665</v>
      </c>
      <c r="H11" s="10" t="str">
        <f aca="false">IF(AND(EXACT(D11,E11),EXACT(E11,F11),EXACT(F11,G11)),"Same","DIFF")</f>
        <v>Same</v>
      </c>
    </row>
    <row r="12" customFormat="false" ht="15" hidden="false" customHeight="false" outlineLevel="0" collapsed="false">
      <c r="A12" s="26" t="s">
        <v>663</v>
      </c>
      <c r="B12" s="26" t="s">
        <v>667</v>
      </c>
      <c r="C12" s="26"/>
      <c r="D12" s="26" t="s">
        <v>633</v>
      </c>
      <c r="E12" s="26" t="s">
        <v>633</v>
      </c>
      <c r="F12" s="26" t="s">
        <v>633</v>
      </c>
      <c r="G12" s="26" t="s">
        <v>633</v>
      </c>
      <c r="H12" s="10" t="str">
        <f aca="false">IF(AND(EXACT(D12,E12),EXACT(E12,F12),EXACT(F12,G12)),"Same","DIFF")</f>
        <v>Same</v>
      </c>
    </row>
    <row r="13" customFormat="false" ht="15" hidden="false" customHeight="false" outlineLevel="0" collapsed="false">
      <c r="A13" s="26" t="s">
        <v>663</v>
      </c>
      <c r="B13" s="26" t="s">
        <v>668</v>
      </c>
      <c r="C13" s="26"/>
      <c r="D13" s="26" t="s">
        <v>134</v>
      </c>
      <c r="E13" s="26" t="s">
        <v>134</v>
      </c>
      <c r="F13" s="26" t="s">
        <v>134</v>
      </c>
      <c r="G13" s="26" t="s">
        <v>134</v>
      </c>
      <c r="H13" s="10" t="str">
        <f aca="false">IF(AND(EXACT(D13,E13),EXACT(E13,F13),EXACT(F13,G13)),"Same","DIFF")</f>
        <v>Same</v>
      </c>
    </row>
  </sheetData>
  <autoFilter ref="A1:H13"/>
  <conditionalFormatting sqref="E2:G13">
    <cfRule type="expression" priority="2" aboveAverage="0" equalAverage="0" bottom="0" percent="0" rank="0" text="" dxfId="3">
      <formula>NOT(EXACT(E2,$D2))</formula>
    </cfRule>
  </conditionalFormatting>
  <conditionalFormatting sqref="H2:H13">
    <cfRule type="expression" priority="3" aboveAverage="0" equalAverage="0" bottom="0" percent="0" rank="0" text="" dxfId="11">
      <formula>$H2="DIFF"</formula>
    </cfRule>
  </conditionalFormatting>
  <conditionalFormatting sqref="D2:G13">
    <cfRule type="expression" priority="4" aboveAverage="0" equalAverage="0" bottom="0" percent="0" rank="0" text="" dxfId="12">
      <formula>OR(D2="(absent)",D2="(null)")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2"/>
    <col collapsed="false" customWidth="true" hidden="false" outlineLevel="0" max="6" min="6" style="0" width="44"/>
  </cols>
  <sheetData>
    <row r="1" customFormat="false" ht="15" hidden="false" customHeight="false" outlineLevel="0" collapsed="false">
      <c r="A1" s="27" t="s">
        <v>669</v>
      </c>
      <c r="B1" s="27" t="s">
        <v>90</v>
      </c>
      <c r="C1" s="27" t="s">
        <v>13</v>
      </c>
      <c r="D1" s="27" t="s">
        <v>14</v>
      </c>
      <c r="E1" s="27" t="s">
        <v>15</v>
      </c>
      <c r="F1" s="27" t="s">
        <v>2</v>
      </c>
    </row>
    <row r="2" customFormat="false" ht="15" hidden="false" customHeight="false" outlineLevel="0" collapsed="false">
      <c r="A2" s="8" t="s">
        <v>670</v>
      </c>
      <c r="B2" s="28" t="n">
        <v>3021</v>
      </c>
      <c r="C2" s="28" t="n">
        <v>2989</v>
      </c>
      <c r="D2" s="28" t="n">
        <v>528</v>
      </c>
      <c r="E2" s="28" t="n">
        <v>362</v>
      </c>
      <c r="F2" s="8" t="s">
        <v>671</v>
      </c>
    </row>
    <row r="3" customFormat="false" ht="15" hidden="false" customHeight="false" outlineLevel="0" collapsed="false">
      <c r="A3" s="8" t="s">
        <v>672</v>
      </c>
      <c r="B3" s="28" t="n">
        <v>1</v>
      </c>
      <c r="C3" s="28" t="n">
        <v>1</v>
      </c>
      <c r="D3" s="28" t="n">
        <v>1</v>
      </c>
      <c r="E3" s="28" t="n">
        <v>1</v>
      </c>
      <c r="F3" s="8" t="s">
        <v>673</v>
      </c>
    </row>
    <row r="4" customFormat="false" ht="15" hidden="false" customHeight="false" outlineLevel="0" collapsed="false">
      <c r="A4" s="8" t="s">
        <v>674</v>
      </c>
      <c r="B4" s="28" t="n">
        <v>86</v>
      </c>
      <c r="C4" s="28" t="n">
        <v>85</v>
      </c>
      <c r="D4" s="28" t="n">
        <v>88</v>
      </c>
      <c r="E4" s="28" t="n">
        <v>79</v>
      </c>
      <c r="F4" s="8" t="s">
        <v>675</v>
      </c>
    </row>
    <row r="5" customFormat="false" ht="15" hidden="false" customHeight="false" outlineLevel="0" collapsed="false">
      <c r="A5" s="8" t="s">
        <v>676</v>
      </c>
      <c r="B5" s="28" t="n">
        <v>341</v>
      </c>
      <c r="C5" s="28" t="n">
        <v>377</v>
      </c>
      <c r="D5" s="28" t="n">
        <v>298</v>
      </c>
      <c r="E5" s="28" t="n">
        <v>294</v>
      </c>
      <c r="F5" s="8" t="s">
        <v>677</v>
      </c>
    </row>
    <row r="6" customFormat="false" ht="15" hidden="false" customHeight="false" outlineLevel="0" collapsed="false">
      <c r="A6" s="8" t="s">
        <v>19</v>
      </c>
      <c r="B6" s="28" t="n">
        <v>15</v>
      </c>
      <c r="C6" s="28" t="n">
        <v>17</v>
      </c>
      <c r="D6" s="28" t="n">
        <v>16</v>
      </c>
      <c r="E6" s="28" t="n">
        <v>16</v>
      </c>
      <c r="F6" s="8" t="s">
        <v>678</v>
      </c>
    </row>
    <row r="7" customFormat="false" ht="15" hidden="false" customHeight="false" outlineLevel="0" collapsed="false">
      <c r="A7" s="8" t="s">
        <v>679</v>
      </c>
      <c r="B7" s="28" t="n">
        <v>219</v>
      </c>
      <c r="C7" s="28" t="n">
        <v>208</v>
      </c>
      <c r="D7" s="28" t="n">
        <v>106</v>
      </c>
      <c r="E7" s="28" t="n">
        <v>80</v>
      </c>
      <c r="F7" s="8" t="s">
        <v>675</v>
      </c>
    </row>
    <row r="8" customFormat="false" ht="15" hidden="false" customHeight="false" outlineLevel="0" collapsed="false">
      <c r="A8" s="8" t="s">
        <v>680</v>
      </c>
      <c r="B8" s="28" t="n">
        <v>3733</v>
      </c>
      <c r="C8" s="28" t="n">
        <v>3148</v>
      </c>
      <c r="D8" s="28" t="n">
        <v>1091</v>
      </c>
      <c r="E8" s="28" t="n">
        <v>794</v>
      </c>
      <c r="F8" s="8" t="s">
        <v>675</v>
      </c>
    </row>
    <row r="9" customFormat="false" ht="15" hidden="false" customHeight="false" outlineLevel="0" collapsed="false">
      <c r="A9" s="8" t="s">
        <v>681</v>
      </c>
      <c r="B9" s="28" t="n">
        <v>1</v>
      </c>
      <c r="C9" s="28" t="n">
        <v>1</v>
      </c>
      <c r="D9" s="28" t="n">
        <v>0</v>
      </c>
      <c r="E9" s="28" t="n">
        <v>2</v>
      </c>
      <c r="F9" s="8" t="s">
        <v>682</v>
      </c>
    </row>
    <row r="10" customFormat="false" ht="15" hidden="false" customHeight="false" outlineLevel="0" collapsed="false">
      <c r="A10" s="8" t="s">
        <v>683</v>
      </c>
      <c r="B10" s="28" t="n">
        <v>65</v>
      </c>
      <c r="C10" s="28" t="n">
        <v>62</v>
      </c>
      <c r="D10" s="28" t="n">
        <v>67</v>
      </c>
      <c r="E10" s="28" t="n">
        <v>105</v>
      </c>
      <c r="F10" s="8" t="s">
        <v>684</v>
      </c>
    </row>
    <row r="11" customFormat="false" ht="15" hidden="false" customHeight="false" outlineLevel="0" collapsed="false">
      <c r="A11" s="8" t="s">
        <v>663</v>
      </c>
      <c r="B11" s="28" t="n">
        <v>1</v>
      </c>
      <c r="C11" s="28" t="n">
        <v>1</v>
      </c>
      <c r="D11" s="28" t="n">
        <v>1</v>
      </c>
      <c r="E11" s="28" t="n">
        <v>1</v>
      </c>
      <c r="F11" s="8" t="s">
        <v>682</v>
      </c>
    </row>
    <row r="12" customFormat="false" ht="15" hidden="false" customHeight="false" outlineLevel="0" collapsed="false">
      <c r="A12" s="8" t="s">
        <v>685</v>
      </c>
      <c r="B12" s="28" t="n">
        <v>5</v>
      </c>
      <c r="C12" s="28" t="n">
        <v>5</v>
      </c>
      <c r="D12" s="28" t="n">
        <v>5</v>
      </c>
      <c r="E12" s="28" t="n">
        <v>5</v>
      </c>
      <c r="F12" s="8" t="s">
        <v>686</v>
      </c>
    </row>
    <row r="13" customFormat="false" ht="15" hidden="false" customHeight="false" outlineLevel="0" collapsed="false">
      <c r="A13" s="8" t="s">
        <v>687</v>
      </c>
      <c r="B13" s="28" t="n">
        <v>6</v>
      </c>
      <c r="C13" s="28" t="n">
        <v>5</v>
      </c>
      <c r="D13" s="28" t="n">
        <v>7</v>
      </c>
      <c r="E13" s="28" t="n">
        <v>8</v>
      </c>
      <c r="F13" s="8" t="s">
        <v>688</v>
      </c>
    </row>
    <row r="14" customFormat="false" ht="15" hidden="false" customHeight="false" outlineLevel="0" collapsed="false">
      <c r="A14" s="8" t="s">
        <v>689</v>
      </c>
      <c r="B14" s="28" t="n">
        <v>2</v>
      </c>
      <c r="C14" s="28" t="n">
        <v>343</v>
      </c>
      <c r="D14" s="28" t="n">
        <v>0</v>
      </c>
      <c r="E14" s="28" t="n">
        <v>0</v>
      </c>
      <c r="F14" s="8" t="s">
        <v>690</v>
      </c>
    </row>
    <row r="15" customFormat="false" ht="15" hidden="false" customHeight="false" outlineLevel="0" collapsed="false">
      <c r="A15" s="8" t="s">
        <v>691</v>
      </c>
      <c r="B15" s="28" t="n">
        <v>0</v>
      </c>
      <c r="C15" s="28" t="n">
        <v>1</v>
      </c>
      <c r="D15" s="28" t="n">
        <v>0</v>
      </c>
      <c r="E15" s="28" t="n">
        <v>0</v>
      </c>
      <c r="F15" s="8" t="s">
        <v>673</v>
      </c>
    </row>
    <row r="16" customFormat="false" ht="15" hidden="false" customHeight="false" outlineLevel="0" collapsed="false">
      <c r="A16" s="8" t="s">
        <v>97</v>
      </c>
      <c r="B16" s="28" t="n">
        <v>4</v>
      </c>
      <c r="C16" s="28" t="n">
        <v>3</v>
      </c>
      <c r="D16" s="28" t="n">
        <v>3</v>
      </c>
      <c r="E16" s="28" t="n">
        <v>4</v>
      </c>
      <c r="F16" s="8" t="s">
        <v>682</v>
      </c>
    </row>
    <row r="17" customFormat="false" ht="15" hidden="false" customHeight="false" outlineLevel="0" collapsed="false">
      <c r="A17" s="8" t="s">
        <v>692</v>
      </c>
      <c r="B17" s="28" t="n">
        <v>31</v>
      </c>
      <c r="C17" s="28" t="n">
        <v>35</v>
      </c>
      <c r="D17" s="28" t="n">
        <v>36</v>
      </c>
      <c r="E17" s="28" t="n">
        <v>44</v>
      </c>
      <c r="F17" s="8" t="s">
        <v>693</v>
      </c>
    </row>
    <row r="18" customFormat="false" ht="15" hidden="false" customHeight="false" outlineLevel="0" collapsed="false">
      <c r="A18" s="8" t="s">
        <v>694</v>
      </c>
      <c r="B18" s="28" t="n">
        <v>17</v>
      </c>
      <c r="C18" s="28" t="n">
        <v>17</v>
      </c>
      <c r="D18" s="28" t="n">
        <v>17</v>
      </c>
      <c r="E18" s="28" t="n">
        <v>21</v>
      </c>
      <c r="F18" s="8" t="s">
        <v>695</v>
      </c>
    </row>
    <row r="19" customFormat="false" ht="15" hidden="false" customHeight="false" outlineLevel="0" collapsed="false">
      <c r="A19" s="8" t="s">
        <v>696</v>
      </c>
      <c r="B19" s="28" t="n">
        <v>0</v>
      </c>
      <c r="C19" s="28" t="n">
        <v>0</v>
      </c>
      <c r="D19" s="28" t="n">
        <v>0</v>
      </c>
      <c r="E19" s="28" t="n">
        <v>2</v>
      </c>
      <c r="F19" s="8" t="s">
        <v>682</v>
      </c>
    </row>
    <row r="20" customFormat="false" ht="15" hidden="false" customHeight="false" outlineLevel="0" collapsed="false">
      <c r="A20" s="8" t="s">
        <v>697</v>
      </c>
      <c r="B20" s="28" t="n">
        <v>2</v>
      </c>
      <c r="C20" s="28" t="n">
        <v>343</v>
      </c>
      <c r="D20" s="28" t="n">
        <v>0</v>
      </c>
      <c r="E20" s="28" t="n">
        <v>0</v>
      </c>
      <c r="F20" s="8" t="s">
        <v>690</v>
      </c>
    </row>
    <row r="21" customFormat="false" ht="15" hidden="false" customHeight="false" outlineLevel="0" collapsed="false">
      <c r="A21" s="8" t="s">
        <v>698</v>
      </c>
      <c r="B21" s="28" t="n">
        <v>2</v>
      </c>
      <c r="C21" s="28" t="n">
        <v>1</v>
      </c>
      <c r="D21" s="28" t="n">
        <v>0</v>
      </c>
      <c r="E21" s="28" t="n">
        <v>0</v>
      </c>
      <c r="F21" s="8" t="s">
        <v>690</v>
      </c>
    </row>
    <row r="22" customFormat="false" ht="15" hidden="false" customHeight="false" outlineLevel="0" collapsed="false">
      <c r="A22" s="8" t="s">
        <v>699</v>
      </c>
      <c r="B22" s="28" t="n">
        <v>2</v>
      </c>
      <c r="C22" s="28" t="n">
        <v>1</v>
      </c>
      <c r="D22" s="28" t="n">
        <v>0</v>
      </c>
      <c r="E22" s="28" t="n">
        <v>0</v>
      </c>
      <c r="F22" s="8" t="s">
        <v>690</v>
      </c>
    </row>
    <row r="23" customFormat="false" ht="15" hidden="false" customHeight="false" outlineLevel="0" collapsed="false">
      <c r="A23" s="8" t="s">
        <v>700</v>
      </c>
      <c r="B23" s="28" t="n">
        <v>6140</v>
      </c>
      <c r="C23" s="28" t="n">
        <v>3054</v>
      </c>
      <c r="D23" s="28" t="n">
        <v>351</v>
      </c>
      <c r="E23" s="28" t="n">
        <v>362</v>
      </c>
      <c r="F23" s="8" t="s">
        <v>701</v>
      </c>
    </row>
    <row r="24" customFormat="false" ht="15" hidden="false" customHeight="false" outlineLevel="0" collapsed="false">
      <c r="A24" s="8" t="s">
        <v>702</v>
      </c>
      <c r="B24" s="28" t="n">
        <v>27</v>
      </c>
      <c r="C24" s="28" t="n">
        <v>23</v>
      </c>
      <c r="D24" s="28" t="n">
        <v>16</v>
      </c>
      <c r="E24" s="28" t="n">
        <v>10</v>
      </c>
      <c r="F24" s="8" t="s">
        <v>703</v>
      </c>
    </row>
    <row r="25" customFormat="false" ht="15" hidden="false" customHeight="false" outlineLevel="0" collapsed="false">
      <c r="A25" s="8" t="s">
        <v>704</v>
      </c>
      <c r="B25" s="28" t="n">
        <v>262</v>
      </c>
      <c r="C25" s="28" t="n">
        <v>443</v>
      </c>
      <c r="D25" s="28" t="n">
        <v>91</v>
      </c>
      <c r="E25" s="28" t="n">
        <v>42</v>
      </c>
      <c r="F25" s="8" t="s">
        <v>705</v>
      </c>
    </row>
    <row r="26" customFormat="false" ht="15" hidden="false" customHeight="false" outlineLevel="0" collapsed="false">
      <c r="A26" s="8" t="s">
        <v>706</v>
      </c>
      <c r="B26" s="28" t="n">
        <v>174</v>
      </c>
      <c r="C26" s="28" t="n">
        <v>328</v>
      </c>
      <c r="D26" s="28" t="n">
        <v>241</v>
      </c>
      <c r="E26" s="28" t="n">
        <v>219</v>
      </c>
      <c r="F26" s="8" t="s">
        <v>707</v>
      </c>
    </row>
    <row r="27" customFormat="false" ht="15" hidden="false" customHeight="false" outlineLevel="0" collapsed="false">
      <c r="A27" s="8" t="s">
        <v>708</v>
      </c>
      <c r="B27" s="28" t="n">
        <v>176</v>
      </c>
      <c r="C27" s="28" t="n">
        <v>170</v>
      </c>
      <c r="D27" s="28" t="n">
        <v>73</v>
      </c>
      <c r="E27" s="28" t="n">
        <v>65</v>
      </c>
      <c r="F27" s="8" t="s">
        <v>709</v>
      </c>
    </row>
    <row r="28" customFormat="false" ht="15" hidden="false" customHeight="false" outlineLevel="0" collapsed="false">
      <c r="A28" s="8" t="s">
        <v>710</v>
      </c>
      <c r="B28" s="28" t="n">
        <v>916</v>
      </c>
      <c r="C28" s="28" t="n">
        <v>983</v>
      </c>
      <c r="D28" s="28" t="n">
        <v>8</v>
      </c>
      <c r="E28" s="28" t="n">
        <v>9</v>
      </c>
      <c r="F28" s="8" t="s">
        <v>711</v>
      </c>
    </row>
    <row r="29" customFormat="false" ht="15" hidden="false" customHeight="false" outlineLevel="0" collapsed="false">
      <c r="A29" s="8" t="s">
        <v>712</v>
      </c>
      <c r="B29" s="28" t="n">
        <v>117</v>
      </c>
      <c r="C29" s="28" t="n">
        <v>123</v>
      </c>
      <c r="D29" s="28" t="n">
        <v>23</v>
      </c>
      <c r="E29" s="28" t="n">
        <v>19</v>
      </c>
      <c r="F29" s="8" t="s">
        <v>713</v>
      </c>
    </row>
    <row r="30" customFormat="false" ht="15" hidden="false" customHeight="false" outlineLevel="0" collapsed="false">
      <c r="A30" s="8" t="s">
        <v>714</v>
      </c>
      <c r="B30" s="28" t="n">
        <v>35</v>
      </c>
      <c r="C30" s="28" t="n">
        <v>154</v>
      </c>
      <c r="D30" s="28" t="n">
        <v>95</v>
      </c>
      <c r="E30" s="28" t="n">
        <v>117</v>
      </c>
      <c r="F30" s="8" t="s">
        <v>715</v>
      </c>
    </row>
    <row r="31" customFormat="false" ht="15" hidden="false" customHeight="false" outlineLevel="0" collapsed="false">
      <c r="A31" s="8" t="s">
        <v>716</v>
      </c>
      <c r="B31" s="28" t="n">
        <v>147</v>
      </c>
      <c r="C31" s="28" t="n">
        <v>262</v>
      </c>
      <c r="D31" s="28" t="n">
        <v>99</v>
      </c>
      <c r="E31" s="28" t="n">
        <v>129</v>
      </c>
      <c r="F31" s="8" t="s">
        <v>717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4"/>
    <col collapsed="false" customWidth="true" hidden="false" outlineLevel="0" max="4" min="4" style="0" width="22"/>
    <col collapsed="false" customWidth="true" hidden="false" outlineLevel="0" max="5" min="5" style="0" width="16"/>
  </cols>
  <sheetData>
    <row r="1" customFormat="false" ht="15" hidden="false" customHeight="false" outlineLevel="0" collapsed="false">
      <c r="A1" s="27" t="s">
        <v>74</v>
      </c>
      <c r="B1" s="27" t="s">
        <v>718</v>
      </c>
      <c r="C1" s="27" t="s">
        <v>719</v>
      </c>
      <c r="D1" s="27" t="s">
        <v>572</v>
      </c>
      <c r="E1" s="27" t="s">
        <v>720</v>
      </c>
    </row>
    <row r="2" customFormat="false" ht="15" hidden="false" customHeight="false" outlineLevel="0" collapsed="false">
      <c r="A2" s="8" t="s">
        <v>90</v>
      </c>
      <c r="B2" s="29" t="n">
        <v>44858.6847309028</v>
      </c>
      <c r="C2" s="8" t="s">
        <v>721</v>
      </c>
      <c r="D2" s="8" t="s">
        <v>722</v>
      </c>
      <c r="E2" s="8" t="s">
        <v>723</v>
      </c>
    </row>
    <row r="3" customFormat="false" ht="15" hidden="false" customHeight="false" outlineLevel="0" collapsed="false">
      <c r="A3" s="8" t="s">
        <v>90</v>
      </c>
      <c r="B3" s="29" t="n">
        <v>45245.7783284722</v>
      </c>
      <c r="C3" s="8" t="s">
        <v>724</v>
      </c>
      <c r="D3" s="8" t="s">
        <v>725</v>
      </c>
      <c r="E3" s="8" t="s">
        <v>726</v>
      </c>
    </row>
    <row r="4" customFormat="false" ht="15" hidden="false" customHeight="false" outlineLevel="0" collapsed="false">
      <c r="A4" s="8" t="s">
        <v>90</v>
      </c>
      <c r="B4" s="29" t="n">
        <v>45245.7783297454</v>
      </c>
      <c r="C4" s="8" t="s">
        <v>727</v>
      </c>
      <c r="D4" s="8" t="s">
        <v>728</v>
      </c>
      <c r="E4" s="8" t="s">
        <v>726</v>
      </c>
    </row>
    <row r="5" customFormat="false" ht="15" hidden="false" customHeight="false" outlineLevel="0" collapsed="false">
      <c r="A5" s="8" t="s">
        <v>90</v>
      </c>
      <c r="B5" s="29" t="n">
        <v>45245.7784581019</v>
      </c>
      <c r="C5" s="8" t="s">
        <v>729</v>
      </c>
      <c r="D5" s="8" t="s">
        <v>730</v>
      </c>
      <c r="E5" s="8" t="s">
        <v>726</v>
      </c>
    </row>
    <row r="6" customFormat="false" ht="15" hidden="false" customHeight="false" outlineLevel="0" collapsed="false">
      <c r="A6" s="8" t="s">
        <v>90</v>
      </c>
      <c r="B6" s="29" t="n">
        <v>45382.2621589468</v>
      </c>
      <c r="C6" s="8" t="s">
        <v>731</v>
      </c>
      <c r="D6" s="8" t="s">
        <v>732</v>
      </c>
      <c r="E6" s="8" t="s">
        <v>726</v>
      </c>
    </row>
    <row r="7" customFormat="false" ht="15" hidden="false" customHeight="false" outlineLevel="0" collapsed="false">
      <c r="A7" s="8" t="s">
        <v>90</v>
      </c>
      <c r="B7" s="29" t="n">
        <v>45382.2622579514</v>
      </c>
      <c r="C7" s="8" t="s">
        <v>733</v>
      </c>
      <c r="D7" s="8" t="s">
        <v>730</v>
      </c>
      <c r="E7" s="8" t="s">
        <v>726</v>
      </c>
    </row>
    <row r="8" customFormat="false" ht="15" hidden="false" customHeight="false" outlineLevel="0" collapsed="false">
      <c r="A8" s="8" t="s">
        <v>90</v>
      </c>
      <c r="B8" s="29" t="n">
        <v>45434.4577169792</v>
      </c>
      <c r="C8" s="8" t="s">
        <v>734</v>
      </c>
      <c r="D8" s="8" t="s">
        <v>730</v>
      </c>
      <c r="E8" s="8" t="s">
        <v>723</v>
      </c>
    </row>
    <row r="9" customFormat="false" ht="15" hidden="false" customHeight="false" outlineLevel="0" collapsed="false">
      <c r="A9" s="8" t="s">
        <v>90</v>
      </c>
      <c r="B9" s="29" t="n">
        <v>45519.7656616551</v>
      </c>
      <c r="C9" s="8" t="s">
        <v>735</v>
      </c>
      <c r="D9" s="8" t="s">
        <v>730</v>
      </c>
      <c r="E9" s="8" t="s">
        <v>723</v>
      </c>
    </row>
    <row r="10" customFormat="false" ht="15" hidden="false" customHeight="false" outlineLevel="0" collapsed="false">
      <c r="A10" s="8" t="s">
        <v>90</v>
      </c>
      <c r="B10" s="29" t="n">
        <v>45628.1105517361</v>
      </c>
      <c r="C10" s="8" t="s">
        <v>736</v>
      </c>
      <c r="D10" s="8" t="s">
        <v>737</v>
      </c>
      <c r="E10" s="8" t="s">
        <v>726</v>
      </c>
    </row>
    <row r="11" customFormat="false" ht="15" hidden="false" customHeight="false" outlineLevel="0" collapsed="false">
      <c r="A11" s="8" t="s">
        <v>90</v>
      </c>
      <c r="B11" s="29" t="n">
        <v>45628.1106498843</v>
      </c>
      <c r="C11" s="8" t="s">
        <v>738</v>
      </c>
      <c r="D11" s="8" t="s">
        <v>730</v>
      </c>
      <c r="E11" s="8" t="s">
        <v>726</v>
      </c>
    </row>
    <row r="12" customFormat="false" ht="15" hidden="false" customHeight="false" outlineLevel="0" collapsed="false">
      <c r="A12" s="8" t="s">
        <v>90</v>
      </c>
      <c r="B12" s="29" t="n">
        <v>45639.810916169</v>
      </c>
      <c r="C12" s="8" t="s">
        <v>739</v>
      </c>
      <c r="D12" s="8" t="s">
        <v>730</v>
      </c>
      <c r="E12" s="8" t="s">
        <v>723</v>
      </c>
    </row>
    <row r="13" customFormat="false" ht="15" hidden="false" customHeight="false" outlineLevel="0" collapsed="false">
      <c r="A13" s="8" t="s">
        <v>90</v>
      </c>
      <c r="B13" s="29" t="n">
        <v>45790.2989440972</v>
      </c>
      <c r="C13" s="8" t="s">
        <v>92</v>
      </c>
      <c r="D13" s="8" t="s">
        <v>740</v>
      </c>
      <c r="E13" s="8" t="s">
        <v>726</v>
      </c>
    </row>
    <row r="14" customFormat="false" ht="15" hidden="false" customHeight="false" outlineLevel="0" collapsed="false">
      <c r="A14" s="8" t="s">
        <v>90</v>
      </c>
      <c r="B14" s="29" t="n">
        <v>45790.2989793171</v>
      </c>
      <c r="C14" s="8" t="s">
        <v>741</v>
      </c>
      <c r="D14" s="8" t="s">
        <v>742</v>
      </c>
      <c r="E14" s="8" t="s">
        <v>726</v>
      </c>
    </row>
    <row r="15" customFormat="false" ht="15" hidden="false" customHeight="false" outlineLevel="0" collapsed="false">
      <c r="A15" s="8" t="s">
        <v>90</v>
      </c>
      <c r="B15" s="29" t="n">
        <v>45790.2989997338</v>
      </c>
      <c r="C15" s="8" t="s">
        <v>741</v>
      </c>
      <c r="D15" s="8" t="s">
        <v>743</v>
      </c>
      <c r="E15" s="8" t="s">
        <v>726</v>
      </c>
    </row>
    <row r="16" customFormat="false" ht="15" hidden="false" customHeight="false" outlineLevel="0" collapsed="false">
      <c r="A16" s="8" t="s">
        <v>90</v>
      </c>
      <c r="B16" s="29" t="n">
        <v>46145.9082635069</v>
      </c>
      <c r="C16" s="8" t="s">
        <v>93</v>
      </c>
      <c r="D16" s="8" t="s">
        <v>744</v>
      </c>
      <c r="E16" s="8" t="s">
        <v>726</v>
      </c>
    </row>
    <row r="17" customFormat="false" ht="15" hidden="false" customHeight="false" outlineLevel="0" collapsed="false">
      <c r="A17" s="8" t="s">
        <v>90</v>
      </c>
      <c r="B17" s="29" t="n">
        <v>46145.9083020833</v>
      </c>
      <c r="C17" s="8" t="s">
        <v>91</v>
      </c>
      <c r="D17" s="8" t="s">
        <v>742</v>
      </c>
      <c r="E17" s="8" t="s">
        <v>726</v>
      </c>
    </row>
    <row r="18" customFormat="false" ht="15" hidden="false" customHeight="false" outlineLevel="0" collapsed="false">
      <c r="A18" s="8" t="s">
        <v>90</v>
      </c>
      <c r="B18" s="29" t="n">
        <v>46145.9083267708</v>
      </c>
      <c r="C18" s="8" t="s">
        <v>91</v>
      </c>
      <c r="D18" s="8" t="s">
        <v>743</v>
      </c>
      <c r="E18" s="8" t="s">
        <v>726</v>
      </c>
    </row>
    <row r="19" customFormat="false" ht="15" hidden="false" customHeight="false" outlineLevel="0" collapsed="false">
      <c r="A19" s="8" t="s">
        <v>13</v>
      </c>
      <c r="B19" s="29" t="n">
        <v>44858.6847309028</v>
      </c>
      <c r="C19" s="8" t="s">
        <v>721</v>
      </c>
      <c r="D19" s="8" t="s">
        <v>722</v>
      </c>
      <c r="E19" s="8" t="s">
        <v>723</v>
      </c>
    </row>
    <row r="20" customFormat="false" ht="15" hidden="false" customHeight="false" outlineLevel="0" collapsed="false">
      <c r="A20" s="8" t="s">
        <v>13</v>
      </c>
      <c r="B20" s="29" t="n">
        <v>45245.3713399653</v>
      </c>
      <c r="C20" s="8" t="s">
        <v>724</v>
      </c>
      <c r="D20" s="8" t="s">
        <v>725</v>
      </c>
      <c r="E20" s="8" t="s">
        <v>726</v>
      </c>
    </row>
    <row r="21" customFormat="false" ht="15" hidden="false" customHeight="false" outlineLevel="0" collapsed="false">
      <c r="A21" s="8" t="s">
        <v>13</v>
      </c>
      <c r="B21" s="29" t="n">
        <v>45245.3713412037</v>
      </c>
      <c r="C21" s="8" t="s">
        <v>727</v>
      </c>
      <c r="D21" s="8" t="s">
        <v>728</v>
      </c>
      <c r="E21" s="8" t="s">
        <v>726</v>
      </c>
    </row>
    <row r="22" customFormat="false" ht="15" hidden="false" customHeight="false" outlineLevel="0" collapsed="false">
      <c r="A22" s="8" t="s">
        <v>13</v>
      </c>
      <c r="B22" s="29" t="n">
        <v>45245.3715412847</v>
      </c>
      <c r="C22" s="8" t="s">
        <v>729</v>
      </c>
      <c r="D22" s="8" t="s">
        <v>730</v>
      </c>
      <c r="E22" s="8" t="s">
        <v>726</v>
      </c>
    </row>
    <row r="23" customFormat="false" ht="15" hidden="false" customHeight="false" outlineLevel="0" collapsed="false">
      <c r="A23" s="8" t="s">
        <v>13</v>
      </c>
      <c r="B23" s="29" t="n">
        <v>45380.3046023148</v>
      </c>
      <c r="C23" s="8" t="s">
        <v>731</v>
      </c>
      <c r="D23" s="8" t="s">
        <v>732</v>
      </c>
      <c r="E23" s="8" t="s">
        <v>726</v>
      </c>
    </row>
    <row r="24" customFormat="false" ht="15" hidden="false" customHeight="false" outlineLevel="0" collapsed="false">
      <c r="A24" s="8" t="s">
        <v>13</v>
      </c>
      <c r="B24" s="29" t="n">
        <v>45380.3048081829</v>
      </c>
      <c r="C24" s="8" t="s">
        <v>733</v>
      </c>
      <c r="D24" s="8" t="s">
        <v>730</v>
      </c>
      <c r="E24" s="8" t="s">
        <v>726</v>
      </c>
    </row>
    <row r="25" customFormat="false" ht="15" hidden="false" customHeight="false" outlineLevel="0" collapsed="false">
      <c r="A25" s="8" t="s">
        <v>13</v>
      </c>
      <c r="B25" s="29" t="n">
        <v>45434.4577169792</v>
      </c>
      <c r="C25" s="8" t="s">
        <v>734</v>
      </c>
      <c r="D25" s="8" t="s">
        <v>730</v>
      </c>
      <c r="E25" s="8" t="s">
        <v>723</v>
      </c>
    </row>
    <row r="26" customFormat="false" ht="15" hidden="false" customHeight="false" outlineLevel="0" collapsed="false">
      <c r="A26" s="8" t="s">
        <v>13</v>
      </c>
      <c r="B26" s="29" t="n">
        <v>45519.7656616551</v>
      </c>
      <c r="C26" s="8" t="s">
        <v>735</v>
      </c>
      <c r="D26" s="8" t="s">
        <v>730</v>
      </c>
      <c r="E26" s="8" t="s">
        <v>723</v>
      </c>
    </row>
    <row r="27" customFormat="false" ht="15" hidden="false" customHeight="false" outlineLevel="0" collapsed="false">
      <c r="A27" s="8" t="s">
        <v>13</v>
      </c>
      <c r="B27" s="29" t="n">
        <v>45613.2618106134</v>
      </c>
      <c r="C27" s="8" t="s">
        <v>736</v>
      </c>
      <c r="D27" s="8" t="s">
        <v>737</v>
      </c>
      <c r="E27" s="8" t="s">
        <v>726</v>
      </c>
    </row>
    <row r="28" customFormat="false" ht="15" hidden="false" customHeight="false" outlineLevel="0" collapsed="false">
      <c r="A28" s="8" t="s">
        <v>13</v>
      </c>
      <c r="B28" s="29" t="n">
        <v>45613.2619013542</v>
      </c>
      <c r="C28" s="8" t="s">
        <v>738</v>
      </c>
      <c r="D28" s="8" t="s">
        <v>730</v>
      </c>
      <c r="E28" s="8" t="s">
        <v>726</v>
      </c>
    </row>
    <row r="29" customFormat="false" ht="15" hidden="false" customHeight="false" outlineLevel="0" collapsed="false">
      <c r="A29" s="8" t="s">
        <v>13</v>
      </c>
      <c r="B29" s="29" t="n">
        <v>45639.810916169</v>
      </c>
      <c r="C29" s="8" t="s">
        <v>739</v>
      </c>
      <c r="D29" s="8" t="s">
        <v>730</v>
      </c>
      <c r="E29" s="8" t="s">
        <v>723</v>
      </c>
    </row>
    <row r="30" customFormat="false" ht="15" hidden="false" customHeight="false" outlineLevel="0" collapsed="false">
      <c r="A30" s="8" t="s">
        <v>13</v>
      </c>
      <c r="B30" s="29" t="n">
        <v>45772.1371778935</v>
      </c>
      <c r="C30" s="8" t="s">
        <v>92</v>
      </c>
      <c r="D30" s="8" t="s">
        <v>740</v>
      </c>
      <c r="E30" s="8" t="s">
        <v>726</v>
      </c>
    </row>
    <row r="31" customFormat="false" ht="15" hidden="false" customHeight="false" outlineLevel="0" collapsed="false">
      <c r="A31" s="8" t="s">
        <v>13</v>
      </c>
      <c r="B31" s="29" t="n">
        <v>45772.137218669</v>
      </c>
      <c r="C31" s="8" t="s">
        <v>741</v>
      </c>
      <c r="D31" s="8" t="s">
        <v>742</v>
      </c>
      <c r="E31" s="8" t="s">
        <v>726</v>
      </c>
    </row>
    <row r="32" customFormat="false" ht="15" hidden="false" customHeight="false" outlineLevel="0" collapsed="false">
      <c r="A32" s="8" t="s">
        <v>13</v>
      </c>
      <c r="B32" s="29" t="n">
        <v>45772.1372457176</v>
      </c>
      <c r="C32" s="8" t="s">
        <v>741</v>
      </c>
      <c r="D32" s="8" t="s">
        <v>743</v>
      </c>
      <c r="E32" s="8" t="s">
        <v>726</v>
      </c>
    </row>
    <row r="33" customFormat="false" ht="15" hidden="false" customHeight="false" outlineLevel="0" collapsed="false">
      <c r="A33" s="8" t="s">
        <v>13</v>
      </c>
      <c r="B33" s="29" t="n">
        <v>46056.1268044792</v>
      </c>
      <c r="C33" s="8" t="s">
        <v>93</v>
      </c>
      <c r="D33" s="8" t="s">
        <v>744</v>
      </c>
      <c r="E33" s="8" t="s">
        <v>726</v>
      </c>
    </row>
    <row r="34" customFormat="false" ht="15" hidden="false" customHeight="false" outlineLevel="0" collapsed="false">
      <c r="A34" s="8" t="s">
        <v>13</v>
      </c>
      <c r="B34" s="29" t="n">
        <v>46056.1268359144</v>
      </c>
      <c r="C34" s="8" t="s">
        <v>91</v>
      </c>
      <c r="D34" s="8" t="s">
        <v>742</v>
      </c>
      <c r="E34" s="8" t="s">
        <v>726</v>
      </c>
    </row>
    <row r="35" customFormat="false" ht="15" hidden="false" customHeight="false" outlineLevel="0" collapsed="false">
      <c r="A35" s="8" t="s">
        <v>13</v>
      </c>
      <c r="B35" s="29" t="n">
        <v>46056.1268563657</v>
      </c>
      <c r="C35" s="8" t="s">
        <v>91</v>
      </c>
      <c r="D35" s="8" t="s">
        <v>743</v>
      </c>
      <c r="E35" s="8" t="s">
        <v>726</v>
      </c>
    </row>
    <row r="36" customFormat="false" ht="15" hidden="false" customHeight="false" outlineLevel="0" collapsed="false">
      <c r="A36" s="8" t="s">
        <v>14</v>
      </c>
      <c r="B36" s="29" t="n">
        <v>44858.6847309028</v>
      </c>
      <c r="C36" s="8" t="s">
        <v>721</v>
      </c>
      <c r="D36" s="8" t="s">
        <v>722</v>
      </c>
      <c r="E36" s="8" t="s">
        <v>723</v>
      </c>
    </row>
    <row r="37" customFormat="false" ht="15" hidden="false" customHeight="false" outlineLevel="0" collapsed="false">
      <c r="A37" s="8" t="s">
        <v>14</v>
      </c>
      <c r="B37" s="29" t="n">
        <v>45245.5453000347</v>
      </c>
      <c r="C37" s="8" t="s">
        <v>724</v>
      </c>
      <c r="D37" s="8" t="s">
        <v>725</v>
      </c>
      <c r="E37" s="8" t="s">
        <v>726</v>
      </c>
    </row>
    <row r="38" customFormat="false" ht="15" hidden="false" customHeight="false" outlineLevel="0" collapsed="false">
      <c r="A38" s="8" t="s">
        <v>14</v>
      </c>
      <c r="B38" s="29" t="n">
        <v>45245.5453015394</v>
      </c>
      <c r="C38" s="8" t="s">
        <v>727</v>
      </c>
      <c r="D38" s="8" t="s">
        <v>728</v>
      </c>
      <c r="E38" s="8" t="s">
        <v>726</v>
      </c>
    </row>
    <row r="39" customFormat="false" ht="15" hidden="false" customHeight="false" outlineLevel="0" collapsed="false">
      <c r="A39" s="8" t="s">
        <v>14</v>
      </c>
      <c r="B39" s="29" t="n">
        <v>45245.5455194444</v>
      </c>
      <c r="C39" s="8" t="s">
        <v>729</v>
      </c>
      <c r="D39" s="8" t="s">
        <v>730</v>
      </c>
      <c r="E39" s="8" t="s">
        <v>726</v>
      </c>
    </row>
    <row r="40" customFormat="false" ht="15" hidden="false" customHeight="false" outlineLevel="0" collapsed="false">
      <c r="A40" s="8" t="s">
        <v>14</v>
      </c>
      <c r="B40" s="29" t="n">
        <v>45379.1500498495</v>
      </c>
      <c r="C40" s="8" t="s">
        <v>731</v>
      </c>
      <c r="D40" s="8" t="s">
        <v>732</v>
      </c>
      <c r="E40" s="8" t="s">
        <v>726</v>
      </c>
    </row>
    <row r="41" customFormat="false" ht="15" hidden="false" customHeight="false" outlineLevel="0" collapsed="false">
      <c r="A41" s="8" t="s">
        <v>14</v>
      </c>
      <c r="B41" s="29" t="n">
        <v>45379.1502464931</v>
      </c>
      <c r="C41" s="8" t="s">
        <v>733</v>
      </c>
      <c r="D41" s="8" t="s">
        <v>730</v>
      </c>
      <c r="E41" s="8" t="s">
        <v>726</v>
      </c>
    </row>
    <row r="42" customFormat="false" ht="15" hidden="false" customHeight="false" outlineLevel="0" collapsed="false">
      <c r="A42" s="8" t="s">
        <v>14</v>
      </c>
      <c r="B42" s="29" t="n">
        <v>45434.4577169792</v>
      </c>
      <c r="C42" s="8" t="s">
        <v>734</v>
      </c>
      <c r="D42" s="8" t="s">
        <v>730</v>
      </c>
      <c r="E42" s="8" t="s">
        <v>723</v>
      </c>
    </row>
    <row r="43" customFormat="false" ht="15" hidden="false" customHeight="false" outlineLevel="0" collapsed="false">
      <c r="A43" s="8" t="s">
        <v>14</v>
      </c>
      <c r="B43" s="29" t="n">
        <v>45519.7656616551</v>
      </c>
      <c r="C43" s="8" t="s">
        <v>735</v>
      </c>
      <c r="D43" s="8" t="s">
        <v>730</v>
      </c>
      <c r="E43" s="8" t="s">
        <v>723</v>
      </c>
    </row>
    <row r="44" customFormat="false" ht="15" hidden="false" customHeight="false" outlineLevel="0" collapsed="false">
      <c r="A44" s="8" t="s">
        <v>14</v>
      </c>
      <c r="B44" s="29" t="n">
        <v>45628.5411697917</v>
      </c>
      <c r="C44" s="8" t="s">
        <v>736</v>
      </c>
      <c r="D44" s="8" t="s">
        <v>737</v>
      </c>
      <c r="E44" s="8" t="s">
        <v>726</v>
      </c>
    </row>
    <row r="45" customFormat="false" ht="15" hidden="false" customHeight="false" outlineLevel="0" collapsed="false">
      <c r="A45" s="8" t="s">
        <v>14</v>
      </c>
      <c r="B45" s="29" t="n">
        <v>45628.5414935185</v>
      </c>
      <c r="C45" s="8" t="s">
        <v>738</v>
      </c>
      <c r="D45" s="8" t="s">
        <v>730</v>
      </c>
      <c r="E45" s="8" t="s">
        <v>726</v>
      </c>
    </row>
    <row r="46" customFormat="false" ht="15" hidden="false" customHeight="false" outlineLevel="0" collapsed="false">
      <c r="A46" s="8" t="s">
        <v>14</v>
      </c>
      <c r="B46" s="29" t="n">
        <v>45639.810916169</v>
      </c>
      <c r="C46" s="8" t="s">
        <v>739</v>
      </c>
      <c r="D46" s="8" t="s">
        <v>730</v>
      </c>
      <c r="E46" s="8" t="s">
        <v>723</v>
      </c>
    </row>
    <row r="47" customFormat="false" ht="15" hidden="false" customHeight="false" outlineLevel="0" collapsed="false">
      <c r="A47" s="8" t="s">
        <v>14</v>
      </c>
      <c r="B47" s="29" t="n">
        <v>45771.4155496875</v>
      </c>
      <c r="C47" s="8" t="s">
        <v>92</v>
      </c>
      <c r="D47" s="8" t="s">
        <v>740</v>
      </c>
      <c r="E47" s="8" t="s">
        <v>726</v>
      </c>
    </row>
    <row r="48" customFormat="false" ht="15" hidden="false" customHeight="false" outlineLevel="0" collapsed="false">
      <c r="A48" s="8" t="s">
        <v>14</v>
      </c>
      <c r="B48" s="29" t="n">
        <v>45771.4155999653</v>
      </c>
      <c r="C48" s="8" t="s">
        <v>741</v>
      </c>
      <c r="D48" s="8" t="s">
        <v>742</v>
      </c>
      <c r="E48" s="8" t="s">
        <v>726</v>
      </c>
    </row>
    <row r="49" customFormat="false" ht="15" hidden="false" customHeight="false" outlineLevel="0" collapsed="false">
      <c r="A49" s="8" t="s">
        <v>14</v>
      </c>
      <c r="B49" s="29" t="n">
        <v>45771.4156273148</v>
      </c>
      <c r="C49" s="8" t="s">
        <v>741</v>
      </c>
      <c r="D49" s="8" t="s">
        <v>743</v>
      </c>
      <c r="E49" s="8" t="s">
        <v>726</v>
      </c>
    </row>
    <row r="50" customFormat="false" ht="15" hidden="false" customHeight="false" outlineLevel="0" collapsed="false">
      <c r="A50" s="8" t="s">
        <v>14</v>
      </c>
      <c r="B50" s="29" t="n">
        <v>46060.821691088</v>
      </c>
      <c r="C50" s="8" t="s">
        <v>93</v>
      </c>
      <c r="D50" s="8" t="s">
        <v>744</v>
      </c>
      <c r="E50" s="8" t="s">
        <v>726</v>
      </c>
    </row>
    <row r="51" customFormat="false" ht="15" hidden="false" customHeight="false" outlineLevel="0" collapsed="false">
      <c r="A51" s="8" t="s">
        <v>14</v>
      </c>
      <c r="B51" s="29" t="n">
        <v>46060.8217199421</v>
      </c>
      <c r="C51" s="8" t="s">
        <v>91</v>
      </c>
      <c r="D51" s="8" t="s">
        <v>742</v>
      </c>
      <c r="E51" s="8" t="s">
        <v>726</v>
      </c>
    </row>
    <row r="52" customFormat="false" ht="15" hidden="false" customHeight="false" outlineLevel="0" collapsed="false">
      <c r="A52" s="8" t="s">
        <v>14</v>
      </c>
      <c r="B52" s="29" t="n">
        <v>46060.8217378472</v>
      </c>
      <c r="C52" s="8" t="s">
        <v>91</v>
      </c>
      <c r="D52" s="8" t="s">
        <v>743</v>
      </c>
      <c r="E52" s="8" t="s">
        <v>726</v>
      </c>
    </row>
    <row r="53" customFormat="false" ht="15" hidden="false" customHeight="false" outlineLevel="0" collapsed="false">
      <c r="A53" s="8" t="s">
        <v>15</v>
      </c>
      <c r="B53" s="29" t="n">
        <v>44858.6847309028</v>
      </c>
      <c r="C53" s="8" t="s">
        <v>721</v>
      </c>
      <c r="D53" s="8" t="s">
        <v>722</v>
      </c>
      <c r="E53" s="8" t="s">
        <v>723</v>
      </c>
    </row>
    <row r="54" customFormat="false" ht="15" hidden="false" customHeight="false" outlineLevel="0" collapsed="false">
      <c r="A54" s="8" t="s">
        <v>15</v>
      </c>
      <c r="B54" s="29" t="n">
        <v>45241.5130111458</v>
      </c>
      <c r="C54" s="8" t="s">
        <v>724</v>
      </c>
      <c r="D54" s="8" t="s">
        <v>725</v>
      </c>
      <c r="E54" s="8" t="s">
        <v>726</v>
      </c>
    </row>
    <row r="55" customFormat="false" ht="15" hidden="false" customHeight="false" outlineLevel="0" collapsed="false">
      <c r="A55" s="8" t="s">
        <v>15</v>
      </c>
      <c r="B55" s="29" t="n">
        <v>45241.5130122685</v>
      </c>
      <c r="C55" s="8" t="s">
        <v>727</v>
      </c>
      <c r="D55" s="8" t="s">
        <v>728</v>
      </c>
      <c r="E55" s="8" t="s">
        <v>726</v>
      </c>
    </row>
    <row r="56" customFormat="false" ht="15" hidden="false" customHeight="false" outlineLevel="0" collapsed="false">
      <c r="A56" s="8" t="s">
        <v>15</v>
      </c>
      <c r="B56" s="29" t="n">
        <v>45241.5131208333</v>
      </c>
      <c r="C56" s="8" t="s">
        <v>729</v>
      </c>
      <c r="D56" s="8" t="s">
        <v>730</v>
      </c>
      <c r="E56" s="8" t="s">
        <v>726</v>
      </c>
    </row>
    <row r="57" customFormat="false" ht="15" hidden="false" customHeight="false" outlineLevel="0" collapsed="false">
      <c r="A57" s="8" t="s">
        <v>15</v>
      </c>
      <c r="B57" s="29" t="n">
        <v>45380.5568646644</v>
      </c>
      <c r="C57" s="8" t="s">
        <v>731</v>
      </c>
      <c r="D57" s="8" t="s">
        <v>732</v>
      </c>
      <c r="E57" s="8" t="s">
        <v>726</v>
      </c>
    </row>
    <row r="58" customFormat="false" ht="15" hidden="false" customHeight="false" outlineLevel="0" collapsed="false">
      <c r="A58" s="8" t="s">
        <v>15</v>
      </c>
      <c r="B58" s="29" t="n">
        <v>45380.5569710995</v>
      </c>
      <c r="C58" s="8" t="s">
        <v>733</v>
      </c>
      <c r="D58" s="8" t="s">
        <v>730</v>
      </c>
      <c r="E58" s="8" t="s">
        <v>726</v>
      </c>
    </row>
    <row r="59" customFormat="false" ht="15" hidden="false" customHeight="false" outlineLevel="0" collapsed="false">
      <c r="A59" s="8" t="s">
        <v>15</v>
      </c>
      <c r="B59" s="29" t="n">
        <v>45428.7626026968</v>
      </c>
      <c r="C59" s="8" t="s">
        <v>745</v>
      </c>
      <c r="D59" s="8" t="s">
        <v>730</v>
      </c>
      <c r="E59" s="8" t="s">
        <v>723</v>
      </c>
    </row>
    <row r="60" customFormat="false" ht="15" hidden="false" customHeight="false" outlineLevel="0" collapsed="false">
      <c r="A60" s="8" t="s">
        <v>15</v>
      </c>
      <c r="B60" s="29" t="n">
        <v>45434.4577169792</v>
      </c>
      <c r="C60" s="8" t="s">
        <v>734</v>
      </c>
      <c r="D60" s="8" t="s">
        <v>730</v>
      </c>
      <c r="E60" s="8" t="s">
        <v>723</v>
      </c>
    </row>
    <row r="61" customFormat="false" ht="15" hidden="false" customHeight="false" outlineLevel="0" collapsed="false">
      <c r="A61" s="8" t="s">
        <v>15</v>
      </c>
      <c r="B61" s="29" t="n">
        <v>45519.7656616551</v>
      </c>
      <c r="C61" s="8" t="s">
        <v>735</v>
      </c>
      <c r="D61" s="8" t="s">
        <v>730</v>
      </c>
      <c r="E61" s="8" t="s">
        <v>723</v>
      </c>
    </row>
    <row r="62" customFormat="false" ht="15" hidden="false" customHeight="false" outlineLevel="0" collapsed="false">
      <c r="A62" s="8" t="s">
        <v>15</v>
      </c>
      <c r="B62" s="29" t="n">
        <v>45546.383802581</v>
      </c>
      <c r="C62" s="8" t="s">
        <v>746</v>
      </c>
      <c r="D62" s="8" t="s">
        <v>730</v>
      </c>
      <c r="E62" s="8" t="s">
        <v>723</v>
      </c>
    </row>
    <row r="63" customFormat="false" ht="15" hidden="false" customHeight="false" outlineLevel="0" collapsed="false">
      <c r="A63" s="8" t="s">
        <v>15</v>
      </c>
      <c r="B63" s="29" t="n">
        <v>45611.1126716782</v>
      </c>
      <c r="C63" s="8" t="s">
        <v>736</v>
      </c>
      <c r="D63" s="8" t="s">
        <v>737</v>
      </c>
      <c r="E63" s="8" t="s">
        <v>726</v>
      </c>
    </row>
    <row r="64" customFormat="false" ht="15" hidden="false" customHeight="false" outlineLevel="0" collapsed="false">
      <c r="A64" s="8" t="s">
        <v>15</v>
      </c>
      <c r="B64" s="29" t="n">
        <v>45611.1127810532</v>
      </c>
      <c r="C64" s="8" t="s">
        <v>738</v>
      </c>
      <c r="D64" s="8" t="s">
        <v>730</v>
      </c>
      <c r="E64" s="8" t="s">
        <v>726</v>
      </c>
    </row>
    <row r="65" customFormat="false" ht="15" hidden="false" customHeight="false" outlineLevel="0" collapsed="false">
      <c r="A65" s="8" t="s">
        <v>15</v>
      </c>
      <c r="B65" s="29" t="n">
        <v>45639.810916169</v>
      </c>
      <c r="C65" s="8" t="s">
        <v>739</v>
      </c>
      <c r="D65" s="8" t="s">
        <v>730</v>
      </c>
      <c r="E65" s="8" t="s">
        <v>723</v>
      </c>
    </row>
    <row r="66" customFormat="false" ht="15" hidden="false" customHeight="false" outlineLevel="0" collapsed="false">
      <c r="A66" s="8" t="s">
        <v>15</v>
      </c>
      <c r="B66" s="29" t="n">
        <v>45760.8343620718</v>
      </c>
      <c r="C66" s="8" t="s">
        <v>92</v>
      </c>
      <c r="D66" s="8" t="s">
        <v>740</v>
      </c>
      <c r="E66" s="8" t="s">
        <v>726</v>
      </c>
    </row>
    <row r="67" customFormat="false" ht="15" hidden="false" customHeight="false" outlineLevel="0" collapsed="false">
      <c r="A67" s="8" t="s">
        <v>15</v>
      </c>
      <c r="B67" s="29" t="n">
        <v>45760.8344046296</v>
      </c>
      <c r="C67" s="8" t="s">
        <v>741</v>
      </c>
      <c r="D67" s="8" t="s">
        <v>742</v>
      </c>
      <c r="E67" s="8" t="s">
        <v>726</v>
      </c>
    </row>
    <row r="68" customFormat="false" ht="15" hidden="false" customHeight="false" outlineLevel="0" collapsed="false">
      <c r="A68" s="8" t="s">
        <v>15</v>
      </c>
      <c r="B68" s="29" t="n">
        <v>45760.8344239583</v>
      </c>
      <c r="C68" s="8" t="s">
        <v>741</v>
      </c>
      <c r="D68" s="8" t="s">
        <v>743</v>
      </c>
      <c r="E68" s="8" t="s">
        <v>726</v>
      </c>
    </row>
    <row r="69" customFormat="false" ht="15" hidden="false" customHeight="false" outlineLevel="0" collapsed="false">
      <c r="A69" s="8" t="s">
        <v>15</v>
      </c>
      <c r="B69" s="29" t="n">
        <v>45947.0221303241</v>
      </c>
      <c r="C69" s="8" t="s">
        <v>93</v>
      </c>
      <c r="D69" s="8" t="s">
        <v>744</v>
      </c>
      <c r="E69" s="8" t="s">
        <v>726</v>
      </c>
    </row>
    <row r="70" customFormat="false" ht="15" hidden="false" customHeight="false" outlineLevel="0" collapsed="false">
      <c r="A70" s="8" t="s">
        <v>15</v>
      </c>
      <c r="B70" s="29" t="n">
        <v>45947.0221656597</v>
      </c>
      <c r="C70" s="8" t="s">
        <v>747</v>
      </c>
      <c r="D70" s="8" t="s">
        <v>742</v>
      </c>
      <c r="E70" s="8" t="s">
        <v>726</v>
      </c>
    </row>
    <row r="71" customFormat="false" ht="15" hidden="false" customHeight="false" outlineLevel="0" collapsed="false">
      <c r="A71" s="8" t="s">
        <v>15</v>
      </c>
      <c r="B71" s="29" t="n">
        <v>45947.0221863426</v>
      </c>
      <c r="C71" s="8" t="s">
        <v>747</v>
      </c>
      <c r="D71" s="8" t="s">
        <v>743</v>
      </c>
      <c r="E71" s="8" t="s">
        <v>726</v>
      </c>
    </row>
    <row r="72" customFormat="false" ht="15" hidden="false" customHeight="false" outlineLevel="0" collapsed="false">
      <c r="A72" s="8" t="s">
        <v>15</v>
      </c>
      <c r="B72" s="29" t="n">
        <v>45965.109061956</v>
      </c>
      <c r="C72" s="8" t="s">
        <v>91</v>
      </c>
      <c r="D72" s="8" t="s">
        <v>742</v>
      </c>
      <c r="E72" s="8" t="s">
        <v>726</v>
      </c>
    </row>
    <row r="73" customFormat="false" ht="15" hidden="false" customHeight="false" outlineLevel="0" collapsed="false">
      <c r="A73" s="8" t="s">
        <v>15</v>
      </c>
      <c r="B73" s="29" t="n">
        <v>45965.1090707176</v>
      </c>
      <c r="C73" s="8" t="s">
        <v>91</v>
      </c>
      <c r="D73" s="8" t="s">
        <v>743</v>
      </c>
      <c r="E73" s="8" t="s">
        <v>726</v>
      </c>
    </row>
  </sheetData>
  <autoFilter ref="A1:E73"/>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2026-09-30T22:29:56Z</dcterms:created>
  <dc:creator>openpyxl</dc:creator>
  <dc:description/>
  <dc:language>en-US</dc:language>
  <cp:lastModifiedBy/>
  <dcterms:modified xsi:type="dcterms:W3CDTF">2026-09-30T22:29:56Z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